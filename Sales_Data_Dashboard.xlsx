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charts/chart16.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7f49f5abf05f6576/Documents/"/>
    </mc:Choice>
  </mc:AlternateContent>
  <xr:revisionPtr revIDLastSave="0" documentId="8_{90CA548C-CB93-46CC-9250-D42B506558C0}" xr6:coauthVersionLast="47" xr6:coauthVersionMax="47" xr10:uidLastSave="{00000000-0000-0000-0000-000000000000}"/>
  <bookViews>
    <workbookView xWindow="-108" yWindow="-108" windowWidth="23256" windowHeight="12456" activeTab="4" xr2:uid="{B1674A05-0814-44CF-9219-9C43DB0EDA59}"/>
  </bookViews>
  <sheets>
    <sheet name="Sheet3" sheetId="3" r:id="rId1"/>
    <sheet name="Sheet4" sheetId="4" r:id="rId2"/>
    <sheet name="Sheet5" sheetId="5" r:id="rId3"/>
    <sheet name="Sheet6" sheetId="6" r:id="rId4"/>
    <sheet name="Dashboard" sheetId="12" r:id="rId5"/>
    <sheet name="Sheet1" sheetId="1" r:id="rId6"/>
  </sheets>
  <definedNames>
    <definedName name="Slicer_Category">#N/A</definedName>
    <definedName name="Slicer_Region">#N/A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 i="12" l="1"/>
  <c r="J6" i="12"/>
  <c r="K6" i="12"/>
  <c r="L6" i="12"/>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alcChain>
</file>

<file path=xl/sharedStrings.xml><?xml version="1.0" encoding="utf-8"?>
<sst xmlns="http://schemas.openxmlformats.org/spreadsheetml/2006/main" count="207" uniqueCount="69">
  <si>
    <t>Order ID</t>
  </si>
  <si>
    <t>Date</t>
  </si>
  <si>
    <t>Region</t>
  </si>
  <si>
    <t>Category</t>
  </si>
  <si>
    <t>Product</t>
  </si>
  <si>
    <t>Sales</t>
  </si>
  <si>
    <t>Quantity</t>
  </si>
  <si>
    <t>Profit</t>
  </si>
  <si>
    <t>Customer</t>
  </si>
  <si>
    <t>South</t>
  </si>
  <si>
    <t>North</t>
  </si>
  <si>
    <t>West</t>
  </si>
  <si>
    <t>East</t>
  </si>
  <si>
    <t>Furniture</t>
  </si>
  <si>
    <t>Electronics</t>
  </si>
  <si>
    <t>Chair</t>
  </si>
  <si>
    <t>Laptop</t>
  </si>
  <si>
    <t>Pen</t>
  </si>
  <si>
    <t>Table</t>
  </si>
  <si>
    <t>Mobile</t>
  </si>
  <si>
    <t>Sofa</t>
  </si>
  <si>
    <t>Marker</t>
  </si>
  <si>
    <t>Office Supplies</t>
  </si>
  <si>
    <t>Notebook</t>
  </si>
  <si>
    <t>Headphones</t>
  </si>
  <si>
    <t>Bed</t>
  </si>
  <si>
    <t>Tablet</t>
  </si>
  <si>
    <t>Stapler</t>
  </si>
  <si>
    <t>Desk</t>
  </si>
  <si>
    <t>Monitor</t>
  </si>
  <si>
    <t>File</t>
  </si>
  <si>
    <t>Cupboard</t>
  </si>
  <si>
    <t>Smartwatch</t>
  </si>
  <si>
    <t>Envelope</t>
  </si>
  <si>
    <t>Camera</t>
  </si>
  <si>
    <t>ravi</t>
  </si>
  <si>
    <t>Amit</t>
  </si>
  <si>
    <t>Sneha</t>
  </si>
  <si>
    <t>Kiran</t>
  </si>
  <si>
    <t>Divya</t>
  </si>
  <si>
    <t>Rahul</t>
  </si>
  <si>
    <t>Anjali</t>
  </si>
  <si>
    <t>Arun</t>
  </si>
  <si>
    <t>Pooja</t>
  </si>
  <si>
    <t>Vikram</t>
  </si>
  <si>
    <t>Neha</t>
  </si>
  <si>
    <t>Manoj</t>
  </si>
  <si>
    <t>Suresh</t>
  </si>
  <si>
    <t>Kavya</t>
  </si>
  <si>
    <t>Meena</t>
  </si>
  <si>
    <t>Ramesh</t>
  </si>
  <si>
    <t>Asha</t>
  </si>
  <si>
    <t>Deepak</t>
  </si>
  <si>
    <t>Swathi</t>
  </si>
  <si>
    <t>Naveen</t>
  </si>
  <si>
    <t>Ravi</t>
  </si>
  <si>
    <t>Month</t>
  </si>
  <si>
    <t>Year</t>
  </si>
  <si>
    <t>Row Labels</t>
  </si>
  <si>
    <t>Grand Total</t>
  </si>
  <si>
    <t>Sum of Sales</t>
  </si>
  <si>
    <t>Sum of Profit</t>
  </si>
  <si>
    <t>Jan</t>
  </si>
  <si>
    <t>Feb</t>
  </si>
  <si>
    <t>Total Sales</t>
  </si>
  <si>
    <t>Total Profit</t>
  </si>
  <si>
    <t>Total Orders</t>
  </si>
  <si>
    <t>Profit Margin</t>
  </si>
  <si>
    <t xml:space="preserve">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</si>
</sst>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4"/>
      <color theme="1"/>
      <name val="Cal"/>
    </font>
    <font>
      <sz val="12"/>
      <color theme="1"/>
      <name val="Cal"/>
    </font>
    <font>
      <b/>
      <i/>
      <sz val="22"/>
      <color rgb="FF002060"/>
      <name val="Calibri"/>
      <family val="2"/>
      <scheme val="minor"/>
    </font>
  </fonts>
  <fills count="7">
    <fill>
      <patternFill patternType="none"/>
    </fill>
    <fill>
      <patternFill patternType="gray125"/>
    </fill>
    <fill>
      <patternFill patternType="solid">
        <fgColor theme="9" tint="0.59999389629810485"/>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4" tint="0.39997558519241921"/>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8">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applyAlignment="1">
      <alignment horizontal="center" vertical="center"/>
    </xf>
    <xf numFmtId="0" fontId="2" fillId="2" borderId="2" xfId="0" applyFont="1" applyFill="1" applyBorder="1" applyAlignment="1">
      <alignment horizontal="center" vertical="center"/>
    </xf>
    <xf numFmtId="9" fontId="1" fillId="3" borderId="1" xfId="0" applyNumberFormat="1" applyFont="1" applyFill="1" applyBorder="1" applyAlignment="1">
      <alignment horizontal="center" vertical="center"/>
    </xf>
    <xf numFmtId="0" fontId="2" fillId="3" borderId="2" xfId="0" applyFont="1" applyFill="1" applyBorder="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0" fillId="4" borderId="0" xfId="0" applyFill="1"/>
    <xf numFmtId="0" fontId="2" fillId="4" borderId="0" xfId="0" applyFont="1" applyFill="1" applyAlignment="1">
      <alignment horizontal="center" vertical="center" wrapText="1"/>
    </xf>
    <xf numFmtId="0" fontId="2" fillId="4" borderId="0" xfId="0" applyFont="1" applyFill="1" applyAlignment="1">
      <alignment horizontal="center" vertical="center"/>
    </xf>
    <xf numFmtId="0" fontId="3" fillId="4" borderId="0" xfId="0" applyFont="1" applyFill="1" applyAlignment="1">
      <alignment vertical="center"/>
    </xf>
    <xf numFmtId="0" fontId="1" fillId="5"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1" fillId="6" borderId="1" xfId="0" applyFont="1" applyFill="1" applyBorder="1" applyAlignment="1">
      <alignment horizontal="center" vertical="center"/>
    </xf>
    <xf numFmtId="0" fontId="2" fillId="6" borderId="2" xfId="0" applyFont="1" applyFill="1" applyBorder="1" applyAlignment="1">
      <alignment horizontal="center" vertical="center"/>
    </xf>
  </cellXfs>
  <cellStyles count="1">
    <cellStyle name="Normal" xfId="0" builtinId="0"/>
  </cellStyles>
  <dxfs count="3">
    <dxf>
      <numFmt numFmtId="0" formatCode="General"/>
    </dxf>
    <dxf>
      <numFmt numFmtId="0" formatCode="General"/>
    </dxf>
    <dxf>
      <numFmt numFmtId="19" formatCode="dd/mm/yyyy"/>
    </dxf>
  </dxfs>
  <tableStyles count="0" defaultTableStyle="TableStyleMedium2" defaultPivotStyle="PivotStyleLight16"/>
  <colors>
    <mruColors>
      <color rgb="FFFF99FF"/>
      <color rgb="FFFF66FF"/>
      <color rgb="FFFF0066"/>
      <color rgb="FFF00627"/>
      <color rgb="FFE012A0"/>
      <color rgb="FFA50021"/>
      <color rgb="FFCC0066"/>
      <color rgb="FF660033"/>
      <color rgb="FFFF33CC"/>
      <color rgb="FF5832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[Sales_Data_Dashboard(1).xlsx]Sheet5!Monthly Sales Trend</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t>Monthly Sales Trend</a:t>
            </a:r>
            <a:endParaRPr lang="en-US" b="1">
              <a:solidFill>
                <a:schemeClr val="tx1"/>
              </a:solidFill>
            </a:endParaRPr>
          </a:p>
        </c:rich>
      </c:tx>
      <c:overlay val="0"/>
      <c:spPr>
        <a:noFill/>
        <a:ln>
          <a:noFill/>
        </a:ln>
        <a:effectLst/>
      </c:spPr>
    </c:title>
    <c:autoTitleDeleted val="0"/>
    <c:pivotFmts>
      <c:pivotFmt>
        <c:idx val="0"/>
        <c:spPr>
          <a:solidFill>
            <a:schemeClr val="accent1"/>
          </a:solidFill>
          <a:ln w="38100" cap="rnd">
            <a:solidFill>
              <a:srgbClr val="583253"/>
            </a:solidFill>
            <a:round/>
          </a:ln>
          <a:effectLst>
            <a:glow rad="139700">
              <a:srgbClr val="E012A0">
                <a:alpha val="40000"/>
              </a:srgbClr>
            </a:glow>
          </a:effectLst>
        </c:spPr>
        <c:marker>
          <c:symbol val="circle"/>
          <c:size val="5"/>
          <c:spPr>
            <a:solidFill>
              <a:schemeClr val="accent1"/>
            </a:solidFill>
            <a:ln w="9525">
              <a:solidFill>
                <a:schemeClr val="accent1"/>
              </a:solidFill>
            </a:ln>
            <a:effectLst>
              <a:glow rad="139700">
                <a:srgbClr val="E012A0">
                  <a:alpha val="40000"/>
                </a:srgbClr>
              </a:glow>
            </a:effectLst>
            <a:scene3d>
              <a:camera prst="orthographicFront"/>
              <a:lightRig rig="threePt" dir="t"/>
            </a:scene3d>
            <a:sp3d>
              <a:bevelT prst="angle"/>
              <a:bevelB prst="relaxedInset"/>
            </a:sp3d>
          </c:spPr>
        </c:marker>
        <c:dLbl>
          <c:idx val="0"/>
          <c:spPr>
            <a:solidFill>
              <a:sysClr val="window" lastClr="FFFFFF">
                <a:alpha val="99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l"/>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38100" cap="rnd">
            <a:solidFill>
              <a:srgbClr val="583253"/>
            </a:solidFill>
            <a:round/>
          </a:ln>
          <a:effectLst>
            <a:glow rad="139700">
              <a:srgbClr val="E012A0">
                <a:alpha val="40000"/>
              </a:srgbClr>
            </a:glow>
            <a:outerShdw blurRad="50800" dist="50800" dir="5400000" sx="2000" sy="2000" algn="ctr" rotWithShape="0">
              <a:srgbClr val="000000">
                <a:alpha val="43137"/>
              </a:srgbClr>
            </a:outerShdw>
          </a:effectLst>
        </c:spPr>
        <c:marker>
          <c:symbol val="circle"/>
          <c:size val="5"/>
          <c:spPr>
            <a:solidFill>
              <a:srgbClr val="E012A0"/>
            </a:solidFill>
            <a:ln w="9525">
              <a:solidFill>
                <a:schemeClr val="accent1"/>
              </a:solidFill>
            </a:ln>
            <a:effectLst>
              <a:glow rad="139700">
                <a:srgbClr val="E012A0">
                  <a:alpha val="40000"/>
                </a:srgbClr>
              </a:glow>
              <a:outerShdw blurRad="50800" dist="50800" dir="5400000" sx="2000" sy="2000" algn="ctr" rotWithShape="0">
                <a:srgbClr val="000000">
                  <a:alpha val="43137"/>
                </a:srgbClr>
              </a:outerShdw>
            </a:effectLst>
            <a:scene3d>
              <a:camera prst="orthographicFront"/>
              <a:lightRig rig="threePt" dir="t"/>
            </a:scene3d>
            <a:sp3d>
              <a:bevelT/>
              <a:bevelB prst="relaxedInset"/>
            </a:sp3d>
          </c:spPr>
        </c:marker>
      </c:pivotFmt>
      <c:pivotFmt>
        <c:idx val="2"/>
        <c:spPr>
          <a:solidFill>
            <a:schemeClr val="accent1"/>
          </a:solidFill>
          <a:ln w="38100" cap="rnd">
            <a:solidFill>
              <a:srgbClr val="583253"/>
            </a:solidFill>
            <a:round/>
          </a:ln>
          <a:effectLst>
            <a:glow rad="139700">
              <a:srgbClr val="E012A0">
                <a:alpha val="40000"/>
              </a:srgbClr>
            </a:glow>
          </a:effectLst>
        </c:spPr>
        <c:marker>
          <c:symbol val="circle"/>
          <c:size val="5"/>
          <c:spPr>
            <a:solidFill>
              <a:schemeClr val="accent1"/>
            </a:solidFill>
            <a:ln w="9525">
              <a:solidFill>
                <a:schemeClr val="accent1"/>
              </a:solidFill>
            </a:ln>
            <a:effectLst>
              <a:glow rad="139700">
                <a:srgbClr val="E012A0">
                  <a:alpha val="40000"/>
                </a:srgbClr>
              </a:glow>
            </a:effectLst>
            <a:scene3d>
              <a:camera prst="orthographicFront"/>
              <a:lightRig rig="threePt" dir="t"/>
            </a:scene3d>
            <a:sp3d>
              <a:bevelT prst="angle"/>
              <a:bevelB prst="relaxedInset"/>
            </a:sp3d>
          </c:spPr>
        </c:marker>
        <c:dLbl>
          <c:idx val="0"/>
          <c:spPr>
            <a:solidFill>
              <a:sysClr val="window" lastClr="FFFFFF">
                <a:alpha val="99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l"/>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1"/>
          </a:solidFill>
          <a:ln w="38100" cap="rnd">
            <a:solidFill>
              <a:srgbClr val="583253"/>
            </a:solidFill>
            <a:round/>
          </a:ln>
          <a:effectLst>
            <a:glow rad="139700">
              <a:srgbClr val="E012A0">
                <a:alpha val="40000"/>
              </a:srgbClr>
            </a:glow>
            <a:outerShdw blurRad="50800" dist="50800" dir="5400000" sx="2000" sy="2000" algn="ctr" rotWithShape="0">
              <a:srgbClr val="000000">
                <a:alpha val="43137"/>
              </a:srgbClr>
            </a:outerShdw>
          </a:effectLst>
        </c:spPr>
        <c:marker>
          <c:symbol val="circle"/>
          <c:size val="5"/>
          <c:spPr>
            <a:solidFill>
              <a:srgbClr val="E012A0"/>
            </a:solidFill>
            <a:ln w="9525">
              <a:solidFill>
                <a:schemeClr val="accent1"/>
              </a:solidFill>
            </a:ln>
            <a:effectLst>
              <a:glow rad="139700">
                <a:srgbClr val="E012A0">
                  <a:alpha val="40000"/>
                </a:srgbClr>
              </a:glow>
              <a:outerShdw blurRad="50800" dist="50800" dir="5400000" sx="2000" sy="2000" algn="ctr" rotWithShape="0">
                <a:srgbClr val="000000">
                  <a:alpha val="43137"/>
                </a:srgbClr>
              </a:outerShdw>
            </a:effectLst>
            <a:scene3d>
              <a:camera prst="orthographicFront"/>
              <a:lightRig rig="threePt" dir="t"/>
            </a:scene3d>
            <a:sp3d>
              <a:bevelT/>
              <a:bevelB prst="relaxedInset"/>
            </a:sp3d>
          </c:spPr>
        </c:marker>
      </c:pivotFmt>
      <c:pivotFmt>
        <c:idx val="4"/>
        <c:spPr>
          <a:ln w="38100" cap="rnd">
            <a:solidFill>
              <a:srgbClr val="583253"/>
            </a:solidFill>
            <a:round/>
          </a:ln>
          <a:effectLst>
            <a:glow rad="139700">
              <a:srgbClr val="E012A0">
                <a:alpha val="40000"/>
              </a:srgbClr>
            </a:glow>
          </a:effectLst>
        </c:spPr>
        <c:marker>
          <c:symbol val="circle"/>
          <c:size val="5"/>
          <c:spPr>
            <a:solidFill>
              <a:schemeClr val="accent1"/>
            </a:solidFill>
            <a:ln w="9525">
              <a:solidFill>
                <a:schemeClr val="accent1"/>
              </a:solidFill>
            </a:ln>
            <a:effectLst>
              <a:glow rad="139700">
                <a:srgbClr val="E012A0">
                  <a:alpha val="40000"/>
                </a:srgbClr>
              </a:glow>
            </a:effectLst>
            <a:scene3d>
              <a:camera prst="orthographicFront"/>
              <a:lightRig rig="threePt" dir="t"/>
            </a:scene3d>
            <a:sp3d>
              <a:bevelT prst="angle"/>
              <a:bevelB prst="relaxedInset"/>
            </a:sp3d>
          </c:spPr>
        </c:marker>
        <c:dLbl>
          <c:idx val="0"/>
          <c:spPr>
            <a:solidFill>
              <a:sysClr val="window" lastClr="FFFFFF">
                <a:alpha val="99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l"/>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ln w="38100" cap="rnd">
            <a:solidFill>
              <a:srgbClr val="583253"/>
            </a:solidFill>
            <a:round/>
          </a:ln>
          <a:effectLst>
            <a:glow rad="139700">
              <a:srgbClr val="E012A0">
                <a:alpha val="40000"/>
              </a:srgbClr>
            </a:glow>
            <a:outerShdw blurRad="50800" dist="50800" dir="5400000" sx="2000" sy="2000" algn="ctr" rotWithShape="0">
              <a:srgbClr val="000000">
                <a:alpha val="43137"/>
              </a:srgbClr>
            </a:outerShdw>
          </a:effectLst>
        </c:spPr>
        <c:marker>
          <c:symbol val="circle"/>
          <c:size val="5"/>
          <c:spPr>
            <a:solidFill>
              <a:srgbClr val="E012A0"/>
            </a:solidFill>
            <a:ln w="9525">
              <a:solidFill>
                <a:schemeClr val="accent1"/>
              </a:solidFill>
            </a:ln>
            <a:effectLst>
              <a:glow rad="139700">
                <a:srgbClr val="E012A0">
                  <a:alpha val="40000"/>
                </a:srgbClr>
              </a:glow>
              <a:outerShdw blurRad="50800" dist="50800" dir="5400000" sx="2000" sy="2000" algn="ctr" rotWithShape="0">
                <a:srgbClr val="000000">
                  <a:alpha val="43137"/>
                </a:srgbClr>
              </a:outerShdw>
            </a:effectLst>
            <a:scene3d>
              <a:camera prst="orthographicFront"/>
              <a:lightRig rig="threePt" dir="t"/>
            </a:scene3d>
            <a:sp3d>
              <a:bevelT/>
              <a:bevelB prst="relaxedInset"/>
            </a:sp3d>
          </c:spPr>
        </c:marker>
      </c:pivotFmt>
      <c:pivotFmt>
        <c:idx val="6"/>
        <c:spPr>
          <a:ln w="38100" cap="rnd">
            <a:solidFill>
              <a:srgbClr val="583253"/>
            </a:solidFill>
            <a:round/>
          </a:ln>
          <a:effectLst>
            <a:glow rad="139700">
              <a:schemeClr val="bg1">
                <a:alpha val="40000"/>
              </a:schemeClr>
            </a:glow>
          </a:effectLst>
        </c:spPr>
        <c:marker>
          <c:symbol val="circle"/>
          <c:size val="5"/>
          <c:spPr>
            <a:solidFill>
              <a:schemeClr val="accent1"/>
            </a:solidFill>
            <a:ln w="9525">
              <a:solidFill>
                <a:schemeClr val="accent1"/>
              </a:solidFill>
            </a:ln>
            <a:effectLst>
              <a:glow rad="139700">
                <a:schemeClr val="bg1">
                  <a:alpha val="40000"/>
                </a:schemeClr>
              </a:glow>
            </a:effectLst>
            <a:scene3d>
              <a:camera prst="orthographicFront"/>
              <a:lightRig rig="threePt" dir="t"/>
            </a:scene3d>
            <a:sp3d>
              <a:bevelT prst="angle"/>
              <a:bevelB prst="relaxedInset"/>
            </a:sp3d>
          </c:spPr>
        </c:marker>
        <c:dLbl>
          <c:idx val="0"/>
          <c:spPr>
            <a:solidFill>
              <a:sysClr val="window" lastClr="FFFFFF">
                <a:alpha val="99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l"/>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ln w="38100" cap="rnd">
            <a:solidFill>
              <a:srgbClr val="583253"/>
            </a:solidFill>
            <a:round/>
          </a:ln>
          <a:effectLst>
            <a:glow rad="139700">
              <a:schemeClr val="bg1">
                <a:alpha val="40000"/>
              </a:schemeClr>
            </a:glow>
            <a:outerShdw blurRad="50800" dist="50800" dir="5400000" sx="2000" sy="2000" algn="ctr" rotWithShape="0">
              <a:srgbClr val="000000">
                <a:alpha val="43137"/>
              </a:srgbClr>
            </a:outerShdw>
          </a:effectLst>
        </c:spPr>
        <c:marker>
          <c:symbol val="circle"/>
          <c:size val="5"/>
          <c:spPr>
            <a:solidFill>
              <a:srgbClr val="E012A0"/>
            </a:solidFill>
            <a:ln w="9525">
              <a:solidFill>
                <a:schemeClr val="accent1"/>
              </a:solidFill>
            </a:ln>
            <a:effectLst>
              <a:glow rad="139700">
                <a:schemeClr val="bg1">
                  <a:alpha val="40000"/>
                </a:schemeClr>
              </a:glow>
              <a:outerShdw blurRad="50800" dist="50800" dir="5400000" sx="2000" sy="2000" algn="ctr" rotWithShape="0">
                <a:srgbClr val="000000">
                  <a:alpha val="43137"/>
                </a:srgbClr>
              </a:outerShdw>
            </a:effectLst>
            <a:scene3d>
              <a:camera prst="orthographicFront"/>
              <a:lightRig rig="threePt" dir="t"/>
            </a:scene3d>
            <a:sp3d>
              <a:bevelB prst="relaxedInset"/>
            </a:sp3d>
          </c:spPr>
        </c:marker>
      </c:pivotFmt>
    </c:pivotFmts>
    <c:plotArea>
      <c:layout>
        <c:manualLayout>
          <c:layoutTarget val="inner"/>
          <c:xMode val="edge"/>
          <c:yMode val="edge"/>
          <c:x val="0.21308356616713231"/>
          <c:y val="0.22624781277340328"/>
          <c:w val="0.60687431208195752"/>
          <c:h val="0.55531313794109072"/>
        </c:manualLayout>
      </c:layout>
      <c:lineChart>
        <c:grouping val="standard"/>
        <c:varyColors val="0"/>
        <c:ser>
          <c:idx val="0"/>
          <c:order val="0"/>
          <c:tx>
            <c:strRef>
              <c:f>Sheet5!$B$3</c:f>
              <c:strCache>
                <c:ptCount val="1"/>
                <c:pt idx="0">
                  <c:v>Total</c:v>
                </c:pt>
              </c:strCache>
            </c:strRef>
          </c:tx>
          <c:spPr>
            <a:ln w="38100" cap="rnd">
              <a:solidFill>
                <a:srgbClr val="583253"/>
              </a:solidFill>
              <a:round/>
            </a:ln>
            <a:effectLst>
              <a:glow rad="139700">
                <a:schemeClr val="bg1">
                  <a:alpha val="40000"/>
                </a:schemeClr>
              </a:glow>
            </a:effectLst>
          </c:spPr>
          <c:marker>
            <c:symbol val="circle"/>
            <c:size val="5"/>
            <c:spPr>
              <a:solidFill>
                <a:schemeClr val="accent1"/>
              </a:solidFill>
              <a:ln w="9525">
                <a:solidFill>
                  <a:schemeClr val="accent1"/>
                </a:solidFill>
              </a:ln>
              <a:effectLst>
                <a:glow rad="139700">
                  <a:schemeClr val="bg1">
                    <a:alpha val="40000"/>
                  </a:schemeClr>
                </a:glow>
              </a:effectLst>
              <a:scene3d>
                <a:camera prst="orthographicFront"/>
                <a:lightRig rig="threePt" dir="t"/>
              </a:scene3d>
              <a:sp3d>
                <a:bevelT prst="angle"/>
                <a:bevelB prst="relaxedInset"/>
              </a:sp3d>
            </c:spPr>
          </c:marker>
          <c:dPt>
            <c:idx val="1"/>
            <c:marker>
              <c:spPr>
                <a:solidFill>
                  <a:srgbClr val="E012A0"/>
                </a:solidFill>
                <a:ln w="9525">
                  <a:solidFill>
                    <a:schemeClr val="accent1"/>
                  </a:solidFill>
                </a:ln>
                <a:effectLst>
                  <a:glow rad="139700">
                    <a:schemeClr val="bg1">
                      <a:alpha val="40000"/>
                    </a:schemeClr>
                  </a:glow>
                  <a:outerShdw blurRad="50800" dist="50800" dir="5400000" sx="2000" sy="2000" algn="ctr" rotWithShape="0">
                    <a:srgbClr val="000000">
                      <a:alpha val="43137"/>
                    </a:srgbClr>
                  </a:outerShdw>
                </a:effectLst>
                <a:scene3d>
                  <a:camera prst="orthographicFront"/>
                  <a:lightRig rig="threePt" dir="t"/>
                </a:scene3d>
                <a:sp3d>
                  <a:bevelB prst="relaxedInset"/>
                </a:sp3d>
              </c:spPr>
            </c:marker>
            <c:bubble3D val="0"/>
            <c:spPr>
              <a:ln w="38100" cap="rnd">
                <a:solidFill>
                  <a:srgbClr val="583253"/>
                </a:solidFill>
                <a:round/>
              </a:ln>
              <a:effectLst>
                <a:glow rad="139700">
                  <a:schemeClr val="bg1">
                    <a:alpha val="40000"/>
                  </a:schemeClr>
                </a:glow>
                <a:outerShdw blurRad="50800" dist="50800" dir="5400000" sx="2000" sy="2000" algn="ctr" rotWithShape="0">
                  <a:srgbClr val="000000">
                    <a:alpha val="43137"/>
                  </a:srgbClr>
                </a:outerShdw>
              </a:effectLst>
            </c:spPr>
            <c:extLst>
              <c:ext xmlns:c16="http://schemas.microsoft.com/office/drawing/2014/chart" uri="{C3380CC4-5D6E-409C-BE32-E72D297353CC}">
                <c16:uniqueId val="{00000005-D18D-4156-B908-799CE9ECCA93}"/>
              </c:ext>
            </c:extLst>
          </c:dPt>
          <c:dLbls>
            <c:spPr>
              <a:solidFill>
                <a:sysClr val="window" lastClr="FFFFFF">
                  <a:alpha val="99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l"/>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Sheet5!$A$4:$A$6</c:f>
              <c:strCache>
                <c:ptCount val="2"/>
                <c:pt idx="0">
                  <c:v>Jan</c:v>
                </c:pt>
                <c:pt idx="1">
                  <c:v>Feb</c:v>
                </c:pt>
              </c:strCache>
            </c:strRef>
          </c:cat>
          <c:val>
            <c:numRef>
              <c:f>Sheet5!$B$4:$B$6</c:f>
              <c:numCache>
                <c:formatCode>General</c:formatCode>
                <c:ptCount val="2"/>
                <c:pt idx="0">
                  <c:v>390800</c:v>
                </c:pt>
                <c:pt idx="1">
                  <c:v>83150</c:v>
                </c:pt>
              </c:numCache>
            </c:numRef>
          </c:val>
          <c:smooth val="0"/>
          <c:extLst>
            <c:ext xmlns:c16="http://schemas.microsoft.com/office/drawing/2014/chart" uri="{C3380CC4-5D6E-409C-BE32-E72D297353CC}">
              <c16:uniqueId val="{00000006-D18D-4156-B908-799CE9ECCA93}"/>
            </c:ext>
          </c:extLst>
        </c:ser>
        <c:dLbls>
          <c:showLegendKey val="0"/>
          <c:showVal val="0"/>
          <c:showCatName val="0"/>
          <c:showSerName val="0"/>
          <c:showPercent val="0"/>
          <c:showBubbleSize val="0"/>
        </c:dLbls>
        <c:marker val="1"/>
        <c:smooth val="0"/>
        <c:axId val="2003162463"/>
        <c:axId val="2003167743"/>
      </c:lineChart>
      <c:catAx>
        <c:axId val="2003162463"/>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sz="1200">
                    <a:solidFill>
                      <a:schemeClr val="tx1"/>
                    </a:solidFill>
                  </a:rPr>
                  <a:t>Month</a:t>
                </a:r>
              </a:p>
            </c:rich>
          </c:tx>
          <c:overlay val="0"/>
          <c:spPr>
            <a:noFill/>
            <a:ln>
              <a:noFill/>
            </a:ln>
            <a:effectLst/>
          </c:sp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003167743"/>
        <c:crosses val="autoZero"/>
        <c:auto val="1"/>
        <c:lblAlgn val="ctr"/>
        <c:lblOffset val="100"/>
        <c:noMultiLvlLbl val="0"/>
      </c:catAx>
      <c:valAx>
        <c:axId val="2003167743"/>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sz="1200">
                    <a:solidFill>
                      <a:schemeClr val="tx1"/>
                    </a:solidFill>
                  </a:rPr>
                  <a:t>Sales</a:t>
                </a:r>
              </a:p>
            </c:rich>
          </c:tx>
          <c:layout>
            <c:manualLayout>
              <c:xMode val="edge"/>
              <c:yMode val="edge"/>
              <c:x val="4.1939679081268146E-2"/>
              <c:y val="0.4121103091280256"/>
            </c:manualLayout>
          </c:layout>
          <c:overlay val="0"/>
          <c:spPr>
            <a:noFill/>
            <a:ln>
              <a:noFill/>
            </a:ln>
            <a:effectLst/>
          </c:sp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003162463"/>
        <c:crosses val="autoZero"/>
        <c:crossBetween val="between"/>
      </c:valAx>
    </c:plotArea>
    <c:legend>
      <c:legendPos val="r"/>
      <c:layout>
        <c:manualLayout>
          <c:xMode val="edge"/>
          <c:yMode val="edge"/>
          <c:x val="0.82145466964835556"/>
          <c:y val="0.37868000874890639"/>
          <c:w val="0.15007745625586119"/>
          <c:h val="0.2199085010207057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[Sales_Data_Dashboard(1).xlsx]Sheet3!Sales by Region</c:name>
    <c:fmtId val="18"/>
  </c:pivotSource>
  <c:chart>
    <c:title>
      <c:tx>
        <c:rich>
          <a:bodyPr rot="0" spcFirstLastPara="1" vertOverflow="ellipsis" vert="horz" wrap="square" anchor="ctr" anchorCtr="1"/>
          <a:lstStyle/>
          <a:p>
            <a:pPr>
              <a:defRPr sz="1600" b="0" i="0" u="none" strike="noStrike" kern="1200" spc="0" baseline="0">
                <a:solidFill>
                  <a:schemeClr val="tx1">
                    <a:lumMod val="95000"/>
                    <a:lumOff val="5000"/>
                  </a:schemeClr>
                </a:solidFill>
                <a:latin typeface="+mn-lt"/>
                <a:ea typeface="+mn-ea"/>
                <a:cs typeface="+mn-cs"/>
              </a:defRPr>
            </a:pPr>
            <a:r>
              <a:rPr lang="en-US" sz="1600" b="1" i="0" u="none" strike="noStrike" baseline="0">
                <a:solidFill>
                  <a:schemeClr val="tx1">
                    <a:lumMod val="95000"/>
                    <a:lumOff val="5000"/>
                  </a:schemeClr>
                </a:solidFill>
              </a:rPr>
              <a:t>Sales by Region</a:t>
            </a:r>
            <a:endParaRPr lang="en-US" sz="1600" b="1">
              <a:solidFill>
                <a:schemeClr val="tx1">
                  <a:lumMod val="95000"/>
                  <a:lumOff val="5000"/>
                </a:schemeClr>
              </a:solidFill>
            </a:endParaRPr>
          </a:p>
        </c:rich>
      </c:tx>
      <c:layout>
        <c:manualLayout>
          <c:xMode val="edge"/>
          <c:yMode val="edge"/>
          <c:x val="0.38958792487290028"/>
          <c:y val="8.831629430888106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rgbClr val="FF0000"/>
          </a:solidFill>
          <a:ln cap="rnd" cmpd="sng">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prstDash val="sysDash"/>
          </a:ln>
          <a:effectLst>
            <a:glow rad="228600">
              <a:srgbClr val="C00000">
                <a:alpha val="40000"/>
              </a:srgbClr>
            </a:glow>
          </a:effectLst>
          <a:scene3d>
            <a:camera prst="orthographicFront"/>
            <a:lightRig rig="sunse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alpha val="91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cap="rnd" cmpd="sng">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prstDash val="sysDash"/>
          </a:ln>
          <a:effectLst>
            <a:glow rad="228600">
              <a:srgbClr val="C00000">
                <a:alpha val="40000"/>
              </a:srgbClr>
            </a:glow>
          </a:effectLst>
          <a:scene3d>
            <a:camera prst="orthographicFront"/>
            <a:lightRig rig="sunse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alpha val="91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cap="rnd" cmpd="sng">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prstDash val="sysDash"/>
          </a:ln>
          <a:effectLst>
            <a:glow rad="228600">
              <a:schemeClr val="bg1">
                <a:alpha val="40000"/>
              </a:schemeClr>
            </a:glow>
          </a:effectLst>
          <a:scene3d>
            <a:camera prst="orthographicFront"/>
            <a:lightRig rig="sunse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alpha val="91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1852565191941"/>
          <c:y val="0.17855058117735279"/>
          <c:w val="0.68963009120262841"/>
          <c:h val="0.6429798275215598"/>
        </c:manualLayout>
      </c:layout>
      <c:barChart>
        <c:barDir val="bar"/>
        <c:grouping val="clustered"/>
        <c:varyColors val="0"/>
        <c:ser>
          <c:idx val="0"/>
          <c:order val="0"/>
          <c:tx>
            <c:strRef>
              <c:f>Sheet3!$B$3</c:f>
              <c:strCache>
                <c:ptCount val="1"/>
                <c:pt idx="0">
                  <c:v>Total</c:v>
                </c:pt>
              </c:strCache>
            </c:strRef>
          </c:tx>
          <c:spPr>
            <a:solidFill>
              <a:srgbClr val="FF0000"/>
            </a:solidFill>
            <a:ln cap="rnd" cmpd="sng">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prstDash val="sysDash"/>
            </a:ln>
            <a:effectLst>
              <a:glow rad="228600">
                <a:schemeClr val="bg1">
                  <a:alpha val="40000"/>
                </a:schemeClr>
              </a:glow>
            </a:effectLst>
            <a:scene3d>
              <a:camera prst="orthographicFront"/>
              <a:lightRig rig="sunset" dir="t"/>
            </a:scene3d>
            <a:sp3d>
              <a:bevelT prst="angle"/>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alpha val="91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East</c:v>
                </c:pt>
                <c:pt idx="1">
                  <c:v>North</c:v>
                </c:pt>
                <c:pt idx="2">
                  <c:v>South</c:v>
                </c:pt>
                <c:pt idx="3">
                  <c:v>West</c:v>
                </c:pt>
              </c:strCache>
            </c:strRef>
          </c:cat>
          <c:val>
            <c:numRef>
              <c:f>Sheet3!$B$4:$B$8</c:f>
              <c:numCache>
                <c:formatCode>General</c:formatCode>
                <c:ptCount val="4"/>
                <c:pt idx="0">
                  <c:v>111300</c:v>
                </c:pt>
                <c:pt idx="1">
                  <c:v>166800</c:v>
                </c:pt>
                <c:pt idx="2">
                  <c:v>84700</c:v>
                </c:pt>
                <c:pt idx="3">
                  <c:v>111150</c:v>
                </c:pt>
              </c:numCache>
            </c:numRef>
          </c:val>
          <c:extLst>
            <c:ext xmlns:c16="http://schemas.microsoft.com/office/drawing/2014/chart" uri="{C3380CC4-5D6E-409C-BE32-E72D297353CC}">
              <c16:uniqueId val="{00000000-6050-4794-BB89-3FA51795AE62}"/>
            </c:ext>
          </c:extLst>
        </c:ser>
        <c:dLbls>
          <c:showLegendKey val="0"/>
          <c:showVal val="0"/>
          <c:showCatName val="0"/>
          <c:showSerName val="0"/>
          <c:showPercent val="0"/>
          <c:showBubbleSize val="0"/>
        </c:dLbls>
        <c:gapWidth val="182"/>
        <c:axId val="2003162943"/>
        <c:axId val="2003154783"/>
      </c:barChart>
      <c:catAx>
        <c:axId val="2003162943"/>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 </a:t>
                </a:r>
                <a:r>
                  <a:rPr lang="en-US" sz="1200" b="1">
                    <a:solidFill>
                      <a:schemeClr val="tx1"/>
                    </a:solidFill>
                  </a:rPr>
                  <a:t>Region</a:t>
                </a:r>
              </a:p>
            </c:rich>
          </c:tx>
          <c:layout>
            <c:manualLayout>
              <c:xMode val="edge"/>
              <c:yMode val="edge"/>
              <c:x val="0.12379092553669835"/>
              <c:y val="0.42662490929640984"/>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2003154783"/>
        <c:crosses val="autoZero"/>
        <c:auto val="1"/>
        <c:lblAlgn val="ctr"/>
        <c:lblOffset val="100"/>
        <c:noMultiLvlLbl val="0"/>
      </c:catAx>
      <c:valAx>
        <c:axId val="2003154783"/>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1">
                    <a:solidFill>
                      <a:schemeClr val="tx1">
                        <a:lumMod val="95000"/>
                        <a:lumOff val="5000"/>
                      </a:schemeClr>
                    </a:solidFill>
                  </a:rPr>
                  <a:t>Sales</a:t>
                </a:r>
              </a:p>
            </c:rich>
          </c:tx>
          <c:layout>
            <c:manualLayout>
              <c:xMode val="edge"/>
              <c:yMode val="edge"/>
              <c:x val="0.49124605827149315"/>
              <c:y val="0.8946666666666667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200316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[Sales_Data_Dashboard(1).xlsx]Sheet4!Profit by Category</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t>Profit by Category</a:t>
            </a:r>
          </a:p>
        </c:rich>
      </c:tx>
      <c:layout>
        <c:manualLayout>
          <c:xMode val="edge"/>
          <c:yMode val="edge"/>
          <c:x val="0.37159660910485498"/>
          <c:y val="9.977875335354169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00627"/>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glow rad="63500">
              <a:schemeClr val="accent2">
                <a:satMod val="175000"/>
                <a:alpha val="40000"/>
              </a:schemeClr>
            </a:glow>
            <a:outerShdw blurRad="50800" dist="38100" dir="2700000" algn="tl" rotWithShape="0">
              <a:prstClr val="black">
                <a:alpha val="40000"/>
              </a:prstClr>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accent2">
                <a:satMod val="175000"/>
                <a:alpha val="40000"/>
              </a:schemeClr>
            </a:glow>
            <a:outerShdw blurRad="50800" dist="38100" dir="5400000" algn="t" rotWithShape="0">
              <a:srgbClr val="E012A0">
                <a:alpha val="40000"/>
              </a:srgbClr>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012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accent2">
                <a:satMod val="175000"/>
                <a:alpha val="40000"/>
              </a:schemeClr>
            </a:glow>
            <a:outerShdw blurRad="50800" dist="38100" dir="5400000" algn="t" rotWithShape="0">
              <a:prstClr val="black">
                <a:alpha val="40000"/>
              </a:prstClr>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00627"/>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glow rad="63500">
              <a:schemeClr val="accent2">
                <a:satMod val="175000"/>
                <a:alpha val="40000"/>
              </a:schemeClr>
            </a:glow>
            <a:outerShdw blurRad="50800" dist="38100" dir="2700000" algn="tl" rotWithShape="0">
              <a:prstClr val="black">
                <a:alpha val="40000"/>
              </a:prstClr>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accent2">
                <a:satMod val="175000"/>
                <a:alpha val="40000"/>
              </a:schemeClr>
            </a:glow>
            <a:outerShdw blurRad="50800" dist="38100" dir="5400000" algn="t" rotWithShape="0">
              <a:srgbClr val="E012A0">
                <a:alpha val="40000"/>
              </a:srgbClr>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012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accent2">
                <a:satMod val="175000"/>
                <a:alpha val="40000"/>
              </a:schemeClr>
            </a:glow>
            <a:outerShdw blurRad="50800" dist="38100" dir="5400000" algn="t" rotWithShape="0">
              <a:prstClr val="black">
                <a:alpha val="40000"/>
              </a:prstClr>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outerShdw blurRad="50800" dist="50800" dir="5400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00627"/>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030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012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13429571303587"/>
          <c:y val="0.32532377276756308"/>
          <c:w val="0.38229636920384952"/>
          <c:h val="0.60283264526231195"/>
        </c:manualLayout>
      </c:layout>
      <c:pieChart>
        <c:varyColors val="1"/>
        <c:ser>
          <c:idx val="0"/>
          <c:order val="0"/>
          <c:tx>
            <c:strRef>
              <c:f>Sheet4!$B$3</c:f>
              <c:strCache>
                <c:ptCount val="1"/>
                <c:pt idx="0">
                  <c:v>Total</c:v>
                </c:pt>
              </c:strCache>
            </c:strRef>
          </c:tx>
          <c:spPr>
            <a:effectLst>
              <a:outerShdw blurRad="50800" dist="50800" dir="5400000" algn="ctr" rotWithShape="0">
                <a:schemeClr val="bg1"/>
              </a:outerShdw>
            </a:effectLst>
          </c:spPr>
          <c:dPt>
            <c:idx val="0"/>
            <c:bubble3D val="0"/>
            <c:spPr>
              <a:solidFill>
                <a:srgbClr val="F00627"/>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extLst>
              <c:ext xmlns:c16="http://schemas.microsoft.com/office/drawing/2014/chart" uri="{C3380CC4-5D6E-409C-BE32-E72D297353CC}">
                <c16:uniqueId val="{00000001-28F6-473C-BF06-35CA85DB5D4A}"/>
              </c:ext>
            </c:extLst>
          </c:dPt>
          <c:dPt>
            <c:idx val="1"/>
            <c:bubble3D val="0"/>
            <c:spPr>
              <a:solidFill>
                <a:srgbClr val="7030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extLst>
              <c:ext xmlns:c16="http://schemas.microsoft.com/office/drawing/2014/chart" uri="{C3380CC4-5D6E-409C-BE32-E72D297353CC}">
                <c16:uniqueId val="{00000003-28F6-473C-BF06-35CA85DB5D4A}"/>
              </c:ext>
            </c:extLst>
          </c:dPt>
          <c:dPt>
            <c:idx val="2"/>
            <c:bubble3D val="0"/>
            <c:spPr>
              <a:solidFill>
                <a:srgbClr val="E012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extLst>
              <c:ext xmlns:c16="http://schemas.microsoft.com/office/drawing/2014/chart" uri="{C3380CC4-5D6E-409C-BE32-E72D297353CC}">
                <c16:uniqueId val="{00000005-28F6-473C-BF06-35CA85DB5D4A}"/>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8F6-473C-BF06-35CA85DB5D4A}"/>
                </c:ext>
              </c:extLst>
            </c:dLbl>
            <c:dLbl>
              <c:idx val="1"/>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8F6-473C-BF06-35CA85DB5D4A}"/>
                </c:ext>
              </c:extLst>
            </c:dLbl>
            <c:dLbl>
              <c:idx val="2"/>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8F6-473C-BF06-35CA85DB5D4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Sheet4!$A$4:$A$7</c:f>
              <c:strCache>
                <c:ptCount val="3"/>
                <c:pt idx="0">
                  <c:v>Electronics</c:v>
                </c:pt>
                <c:pt idx="1">
                  <c:v>Furniture</c:v>
                </c:pt>
                <c:pt idx="2">
                  <c:v>Office Supplies</c:v>
                </c:pt>
              </c:strCache>
            </c:strRef>
          </c:cat>
          <c:val>
            <c:numRef>
              <c:f>Sheet4!$B$4:$B$7</c:f>
              <c:numCache>
                <c:formatCode>General</c:formatCode>
                <c:ptCount val="3"/>
                <c:pt idx="0">
                  <c:v>38400</c:v>
                </c:pt>
                <c:pt idx="1">
                  <c:v>37600</c:v>
                </c:pt>
                <c:pt idx="2">
                  <c:v>3230</c:v>
                </c:pt>
              </c:numCache>
            </c:numRef>
          </c:val>
          <c:extLst>
            <c:ext xmlns:c16="http://schemas.microsoft.com/office/drawing/2014/chart" uri="{C3380CC4-5D6E-409C-BE32-E72D297353CC}">
              <c16:uniqueId val="{00000006-28F6-473C-BF06-35CA85DB5D4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6112029746281729"/>
          <c:y val="0.28869130941965587"/>
          <c:w val="0.20276859142607173"/>
          <c:h val="0.49145778652668415"/>
        </c:manualLayout>
      </c:layout>
      <c:overlay val="0"/>
      <c:spPr>
        <a:noFill/>
        <a:ln>
          <a:noFill/>
        </a:ln>
        <a:effectLst>
          <a:glow rad="63500">
            <a:schemeClr val="accent1">
              <a:satMod val="175000"/>
              <a:alpha val="40000"/>
            </a:schemeClr>
          </a:glow>
          <a:outerShdw blurRad="50800" dist="50800" algn="ctr" rotWithShape="0">
            <a:srgbClr val="000000">
              <a:alpha val="43137"/>
            </a:srgbClr>
          </a:outerShdw>
        </a:effectLst>
      </c:spPr>
      <c:txPr>
        <a:bodyPr rot="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[Sales_Data_Dashboard(1).xlsx]Sheet6!Top Products</c:name>
    <c:fmtId val="8"/>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i="0" u="none" strike="noStrike" baseline="0"/>
              <a:t>Top Products</a:t>
            </a:r>
            <a:endParaRPr lang="en-US"/>
          </a:p>
        </c:rich>
      </c:tx>
      <c:layout>
        <c:manualLayout>
          <c:xMode val="edge"/>
          <c:yMode val="edge"/>
          <c:x val="0.41421759627096588"/>
          <c:y val="8.571178509610918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CC0066"/>
          </a:solidFill>
          <a:ln>
            <a:noFill/>
          </a:ln>
          <a:effectLst>
            <a:glow rad="127000">
              <a:srgbClr val="E012A0">
                <a:alpha val="95000"/>
              </a:srgbClr>
            </a:glow>
          </a:effectLst>
          <a:scene3d>
            <a:camera prst="orthographicFront"/>
            <a:lightRig rig="flat" dir="t"/>
          </a:scene3d>
          <a:sp3d prstMaterial="dkEdge">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0066"/>
          </a:solidFill>
          <a:ln>
            <a:noFill/>
          </a:ln>
          <a:effectLst>
            <a:glow rad="127000">
              <a:srgbClr val="E012A0">
                <a:alpha val="95000"/>
              </a:srgbClr>
            </a:glow>
          </a:effectLst>
          <a:scene3d>
            <a:camera prst="orthographicFront"/>
            <a:lightRig rig="flat" dir="t"/>
          </a:scene3d>
          <a:sp3d prstMaterial="dkEdge">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C0066"/>
          </a:solidFill>
          <a:ln>
            <a:noFill/>
          </a:ln>
          <a:effectLst>
            <a:glow rad="127000">
              <a:schemeClr val="bg1">
                <a:alpha val="95000"/>
              </a:schemeClr>
            </a:glow>
          </a:effectLst>
          <a:scene3d>
            <a:camera prst="orthographicFront"/>
            <a:lightRig rig="flat" dir="t"/>
          </a:scene3d>
          <a:sp3d prstMaterial="dkEdge">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6035346882755"/>
          <c:y val="0.26328484981044037"/>
          <c:w val="0.76725925058624178"/>
          <c:h val="0.4350667104111986"/>
        </c:manualLayout>
      </c:layout>
      <c:barChart>
        <c:barDir val="col"/>
        <c:grouping val="clustered"/>
        <c:varyColors val="0"/>
        <c:ser>
          <c:idx val="0"/>
          <c:order val="0"/>
          <c:tx>
            <c:strRef>
              <c:f>Sheet6!$B$3</c:f>
              <c:strCache>
                <c:ptCount val="1"/>
                <c:pt idx="0">
                  <c:v>Total</c:v>
                </c:pt>
              </c:strCache>
            </c:strRef>
          </c:tx>
          <c:spPr>
            <a:solidFill>
              <a:srgbClr val="CC0066"/>
            </a:solidFill>
            <a:ln>
              <a:noFill/>
            </a:ln>
            <a:effectLst>
              <a:glow rad="127000">
                <a:schemeClr val="bg1">
                  <a:alpha val="95000"/>
                </a:schemeClr>
              </a:glow>
            </a:effectLst>
            <a:scene3d>
              <a:camera prst="orthographicFront"/>
              <a:lightRig rig="flat" dir="t"/>
            </a:scene3d>
            <a:sp3d prstMaterial="dkEdge">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Sheet6!$A$4:$A$14</c:f>
              <c:strCache>
                <c:ptCount val="10"/>
                <c:pt idx="0">
                  <c:v>Bed</c:v>
                </c:pt>
                <c:pt idx="1">
                  <c:v>Camera</c:v>
                </c:pt>
                <c:pt idx="2">
                  <c:v>Chair</c:v>
                </c:pt>
                <c:pt idx="3">
                  <c:v>Cupboard</c:v>
                </c:pt>
                <c:pt idx="4">
                  <c:v>Laptop</c:v>
                </c:pt>
                <c:pt idx="5">
                  <c:v>Mobile</c:v>
                </c:pt>
                <c:pt idx="6">
                  <c:v>Monitor</c:v>
                </c:pt>
                <c:pt idx="7">
                  <c:v>Sofa</c:v>
                </c:pt>
                <c:pt idx="8">
                  <c:v>Table</c:v>
                </c:pt>
                <c:pt idx="9">
                  <c:v>Tablet</c:v>
                </c:pt>
              </c:strCache>
            </c:strRef>
          </c:cat>
          <c:val>
            <c:numRef>
              <c:f>Sheet6!$B$4:$B$14</c:f>
              <c:numCache>
                <c:formatCode>General</c:formatCode>
                <c:ptCount val="10"/>
                <c:pt idx="0">
                  <c:v>62000</c:v>
                </c:pt>
                <c:pt idx="1">
                  <c:v>51000</c:v>
                </c:pt>
                <c:pt idx="2">
                  <c:v>16500</c:v>
                </c:pt>
                <c:pt idx="3">
                  <c:v>41000</c:v>
                </c:pt>
                <c:pt idx="4">
                  <c:v>92000</c:v>
                </c:pt>
                <c:pt idx="5">
                  <c:v>42000</c:v>
                </c:pt>
                <c:pt idx="6">
                  <c:v>25000</c:v>
                </c:pt>
                <c:pt idx="7">
                  <c:v>52000</c:v>
                </c:pt>
                <c:pt idx="8">
                  <c:v>22300</c:v>
                </c:pt>
                <c:pt idx="9">
                  <c:v>31000</c:v>
                </c:pt>
              </c:numCache>
            </c:numRef>
          </c:val>
          <c:extLst>
            <c:ext xmlns:c16="http://schemas.microsoft.com/office/drawing/2014/chart" uri="{C3380CC4-5D6E-409C-BE32-E72D297353CC}">
              <c16:uniqueId val="{00000000-B0D9-4B6D-A2D7-3658CD3FA130}"/>
            </c:ext>
          </c:extLst>
        </c:ser>
        <c:dLbls>
          <c:showLegendKey val="0"/>
          <c:showVal val="0"/>
          <c:showCatName val="0"/>
          <c:showSerName val="0"/>
          <c:showPercent val="0"/>
          <c:showBubbleSize val="0"/>
        </c:dLbls>
        <c:gapWidth val="219"/>
        <c:overlap val="-27"/>
        <c:axId val="2013072719"/>
        <c:axId val="2013073199"/>
      </c:barChart>
      <c:catAx>
        <c:axId val="2013072719"/>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Product</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13073199"/>
        <c:crosses val="autoZero"/>
        <c:auto val="1"/>
        <c:lblAlgn val="ctr"/>
        <c:lblOffset val="100"/>
        <c:noMultiLvlLbl val="0"/>
      </c:catAx>
      <c:valAx>
        <c:axId val="2013073199"/>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a:solidFill>
                      <a:sysClr val="windowText" lastClr="000000"/>
                    </a:solidFill>
                  </a:rPr>
                  <a:t>Sales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13072719"/>
        <c:crosses val="autoZero"/>
        <c:crossBetween val="between"/>
      </c:valAx>
      <c:spPr>
        <a:noFill/>
        <a:ln>
          <a:noFill/>
        </a:ln>
        <a:effectLst/>
      </c:spPr>
    </c:plotArea>
    <c:legend>
      <c:legendPos val="r"/>
      <c:layout>
        <c:manualLayout>
          <c:xMode val="edge"/>
          <c:yMode val="edge"/>
          <c:x val="0.85711716261120563"/>
          <c:y val="0.15755080974590407"/>
          <c:w val="0.11915464990866641"/>
          <c:h val="0.116969416592710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[Sales_Data_Dashboard(1).xlsx]Sheet5!Monthly Sales Trend</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t>Monthly Sales Trend</a:t>
            </a:r>
            <a:endParaRPr lang="en-US" b="1">
              <a:solidFill>
                <a:schemeClr val="tx1"/>
              </a:solidFill>
            </a:endParaRPr>
          </a:p>
        </c:rich>
      </c:tx>
      <c:overlay val="0"/>
      <c:spPr>
        <a:noFill/>
        <a:ln>
          <a:noFill/>
        </a:ln>
        <a:effectLst/>
      </c:spPr>
    </c:title>
    <c:autoTitleDeleted val="0"/>
    <c:pivotFmts>
      <c:pivotFmt>
        <c:idx val="0"/>
        <c:spPr>
          <a:solidFill>
            <a:schemeClr val="accent1"/>
          </a:solidFill>
          <a:ln w="38100" cap="rnd">
            <a:solidFill>
              <a:srgbClr val="583253"/>
            </a:solidFill>
            <a:round/>
          </a:ln>
          <a:effectLst>
            <a:glow rad="139700">
              <a:srgbClr val="E012A0">
                <a:alpha val="40000"/>
              </a:srgbClr>
            </a:glow>
          </a:effectLst>
        </c:spPr>
        <c:marker>
          <c:symbol val="circle"/>
          <c:size val="5"/>
          <c:spPr>
            <a:solidFill>
              <a:schemeClr val="accent1"/>
            </a:solidFill>
            <a:ln w="9525">
              <a:solidFill>
                <a:schemeClr val="accent1"/>
              </a:solidFill>
            </a:ln>
            <a:effectLst>
              <a:glow rad="139700">
                <a:srgbClr val="E012A0">
                  <a:alpha val="40000"/>
                </a:srgbClr>
              </a:glow>
            </a:effectLst>
            <a:scene3d>
              <a:camera prst="orthographicFront"/>
              <a:lightRig rig="threePt" dir="t"/>
            </a:scene3d>
            <a:sp3d>
              <a:bevelT prst="angle"/>
              <a:bevelB prst="relaxedInset"/>
            </a:sp3d>
          </c:spPr>
        </c:marker>
        <c:dLbl>
          <c:idx val="0"/>
          <c:spPr>
            <a:solidFill>
              <a:sysClr val="window" lastClr="FFFFFF">
                <a:alpha val="99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l"/>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38100" cap="rnd">
            <a:solidFill>
              <a:srgbClr val="583253"/>
            </a:solidFill>
            <a:round/>
          </a:ln>
          <a:effectLst>
            <a:glow rad="139700">
              <a:srgbClr val="E012A0">
                <a:alpha val="40000"/>
              </a:srgbClr>
            </a:glow>
            <a:outerShdw blurRad="50800" dist="50800" dir="5400000" sx="2000" sy="2000" algn="ctr" rotWithShape="0">
              <a:srgbClr val="000000">
                <a:alpha val="43137"/>
              </a:srgbClr>
            </a:outerShdw>
          </a:effectLst>
        </c:spPr>
        <c:marker>
          <c:symbol val="circle"/>
          <c:size val="5"/>
          <c:spPr>
            <a:solidFill>
              <a:srgbClr val="E012A0"/>
            </a:solidFill>
            <a:ln w="9525">
              <a:solidFill>
                <a:schemeClr val="accent1"/>
              </a:solidFill>
            </a:ln>
            <a:effectLst>
              <a:glow rad="139700">
                <a:srgbClr val="E012A0">
                  <a:alpha val="40000"/>
                </a:srgbClr>
              </a:glow>
              <a:outerShdw blurRad="50800" dist="50800" dir="5400000" sx="2000" sy="2000" algn="ctr" rotWithShape="0">
                <a:srgbClr val="000000">
                  <a:alpha val="43137"/>
                </a:srgbClr>
              </a:outerShdw>
            </a:effectLst>
            <a:scene3d>
              <a:camera prst="orthographicFront"/>
              <a:lightRig rig="threePt" dir="t"/>
            </a:scene3d>
            <a:sp3d>
              <a:bevelT/>
              <a:bevelB prst="relaxedInset"/>
            </a:sp3d>
          </c:spPr>
        </c:marker>
      </c:pivotFmt>
      <c:pivotFmt>
        <c:idx val="2"/>
        <c:spPr>
          <a:solidFill>
            <a:schemeClr val="accent1"/>
          </a:solidFill>
          <a:ln w="38100" cap="rnd">
            <a:solidFill>
              <a:srgbClr val="583253"/>
            </a:solidFill>
            <a:round/>
          </a:ln>
          <a:effectLst>
            <a:glow rad="139700">
              <a:srgbClr val="E012A0">
                <a:alpha val="40000"/>
              </a:srgbClr>
            </a:glow>
          </a:effectLst>
        </c:spPr>
        <c:marker>
          <c:symbol val="circle"/>
          <c:size val="5"/>
          <c:spPr>
            <a:solidFill>
              <a:schemeClr val="accent1"/>
            </a:solidFill>
            <a:ln w="9525">
              <a:solidFill>
                <a:schemeClr val="accent1"/>
              </a:solidFill>
            </a:ln>
            <a:effectLst>
              <a:glow rad="139700">
                <a:srgbClr val="E012A0">
                  <a:alpha val="40000"/>
                </a:srgbClr>
              </a:glow>
            </a:effectLst>
            <a:scene3d>
              <a:camera prst="orthographicFront"/>
              <a:lightRig rig="threePt" dir="t"/>
            </a:scene3d>
            <a:sp3d>
              <a:bevelT prst="angle"/>
              <a:bevelB prst="relaxedInset"/>
            </a:sp3d>
          </c:spPr>
        </c:marker>
        <c:dLbl>
          <c:idx val="0"/>
          <c:spPr>
            <a:solidFill>
              <a:sysClr val="window" lastClr="FFFFFF">
                <a:alpha val="99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l"/>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1"/>
          </a:solidFill>
          <a:ln w="38100" cap="rnd">
            <a:solidFill>
              <a:srgbClr val="583253"/>
            </a:solidFill>
            <a:round/>
          </a:ln>
          <a:effectLst>
            <a:glow rad="139700">
              <a:srgbClr val="E012A0">
                <a:alpha val="40000"/>
              </a:srgbClr>
            </a:glow>
            <a:outerShdw blurRad="50800" dist="50800" dir="5400000" sx="2000" sy="2000" algn="ctr" rotWithShape="0">
              <a:srgbClr val="000000">
                <a:alpha val="43137"/>
              </a:srgbClr>
            </a:outerShdw>
          </a:effectLst>
        </c:spPr>
        <c:marker>
          <c:symbol val="circle"/>
          <c:size val="5"/>
          <c:spPr>
            <a:solidFill>
              <a:srgbClr val="E012A0"/>
            </a:solidFill>
            <a:ln w="9525">
              <a:solidFill>
                <a:schemeClr val="accent1"/>
              </a:solidFill>
            </a:ln>
            <a:effectLst>
              <a:glow rad="139700">
                <a:srgbClr val="E012A0">
                  <a:alpha val="40000"/>
                </a:srgbClr>
              </a:glow>
              <a:outerShdw blurRad="50800" dist="50800" dir="5400000" sx="2000" sy="2000" algn="ctr" rotWithShape="0">
                <a:srgbClr val="000000">
                  <a:alpha val="43137"/>
                </a:srgbClr>
              </a:outerShdw>
            </a:effectLst>
            <a:scene3d>
              <a:camera prst="orthographicFront"/>
              <a:lightRig rig="threePt" dir="t"/>
            </a:scene3d>
            <a:sp3d>
              <a:bevelT/>
              <a:bevelB prst="relaxedInset"/>
            </a:sp3d>
          </c:spPr>
        </c:marker>
      </c:pivotFmt>
      <c:pivotFmt>
        <c:idx val="4"/>
        <c:spPr>
          <a:ln w="38100" cap="rnd">
            <a:solidFill>
              <a:srgbClr val="583253"/>
            </a:solidFill>
            <a:round/>
          </a:ln>
          <a:effectLst>
            <a:glow rad="139700">
              <a:srgbClr val="E012A0">
                <a:alpha val="40000"/>
              </a:srgbClr>
            </a:glow>
          </a:effectLst>
        </c:spPr>
        <c:marker>
          <c:symbol val="circle"/>
          <c:size val="5"/>
          <c:spPr>
            <a:solidFill>
              <a:schemeClr val="accent1"/>
            </a:solidFill>
            <a:ln w="9525">
              <a:solidFill>
                <a:schemeClr val="accent1"/>
              </a:solidFill>
            </a:ln>
            <a:effectLst>
              <a:glow rad="139700">
                <a:srgbClr val="E012A0">
                  <a:alpha val="40000"/>
                </a:srgbClr>
              </a:glow>
            </a:effectLst>
            <a:scene3d>
              <a:camera prst="orthographicFront"/>
              <a:lightRig rig="threePt" dir="t"/>
            </a:scene3d>
            <a:sp3d>
              <a:bevelT prst="angle"/>
              <a:bevelB prst="relaxedInset"/>
            </a:sp3d>
          </c:spPr>
        </c:marker>
        <c:dLbl>
          <c:idx val="0"/>
          <c:spPr>
            <a:solidFill>
              <a:sysClr val="window" lastClr="FFFFFF">
                <a:alpha val="99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l"/>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ln w="38100" cap="rnd">
            <a:solidFill>
              <a:srgbClr val="583253"/>
            </a:solidFill>
            <a:round/>
          </a:ln>
          <a:effectLst>
            <a:glow rad="139700">
              <a:srgbClr val="E012A0">
                <a:alpha val="40000"/>
              </a:srgbClr>
            </a:glow>
            <a:outerShdw blurRad="50800" dist="50800" dir="5400000" sx="2000" sy="2000" algn="ctr" rotWithShape="0">
              <a:srgbClr val="000000">
                <a:alpha val="43137"/>
              </a:srgbClr>
            </a:outerShdw>
          </a:effectLst>
        </c:spPr>
        <c:marker>
          <c:symbol val="circle"/>
          <c:size val="5"/>
          <c:spPr>
            <a:solidFill>
              <a:srgbClr val="E012A0"/>
            </a:solidFill>
            <a:ln w="9525">
              <a:solidFill>
                <a:schemeClr val="accent1"/>
              </a:solidFill>
            </a:ln>
            <a:effectLst>
              <a:glow rad="139700">
                <a:srgbClr val="E012A0">
                  <a:alpha val="40000"/>
                </a:srgbClr>
              </a:glow>
              <a:outerShdw blurRad="50800" dist="50800" dir="5400000" sx="2000" sy="2000" algn="ctr" rotWithShape="0">
                <a:srgbClr val="000000">
                  <a:alpha val="43137"/>
                </a:srgbClr>
              </a:outerShdw>
            </a:effectLst>
            <a:scene3d>
              <a:camera prst="orthographicFront"/>
              <a:lightRig rig="threePt" dir="t"/>
            </a:scene3d>
            <a:sp3d>
              <a:bevelT/>
              <a:bevelB prst="relaxedInset"/>
            </a:sp3d>
          </c:spPr>
        </c:marker>
      </c:pivotFmt>
      <c:pivotFmt>
        <c:idx val="6"/>
        <c:spPr>
          <a:ln w="38100" cap="rnd">
            <a:solidFill>
              <a:srgbClr val="583253"/>
            </a:solidFill>
            <a:round/>
          </a:ln>
          <a:effectLst>
            <a:glow rad="139700">
              <a:schemeClr val="bg1">
                <a:alpha val="40000"/>
              </a:schemeClr>
            </a:glow>
          </a:effectLst>
        </c:spPr>
        <c:marker>
          <c:symbol val="circle"/>
          <c:size val="5"/>
          <c:spPr>
            <a:solidFill>
              <a:schemeClr val="accent1"/>
            </a:solidFill>
            <a:ln w="9525">
              <a:solidFill>
                <a:schemeClr val="accent1"/>
              </a:solidFill>
            </a:ln>
            <a:effectLst>
              <a:glow rad="139700">
                <a:schemeClr val="bg1">
                  <a:alpha val="40000"/>
                </a:schemeClr>
              </a:glow>
            </a:effectLst>
            <a:scene3d>
              <a:camera prst="orthographicFront"/>
              <a:lightRig rig="threePt" dir="t"/>
            </a:scene3d>
            <a:sp3d>
              <a:bevelT prst="angle"/>
              <a:bevelB prst="relaxedInset"/>
            </a:sp3d>
          </c:spPr>
        </c:marker>
        <c:dLbl>
          <c:idx val="0"/>
          <c:spPr>
            <a:solidFill>
              <a:sysClr val="window" lastClr="FFFFFF">
                <a:alpha val="99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l"/>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ln w="38100" cap="rnd">
            <a:solidFill>
              <a:srgbClr val="583253"/>
            </a:solidFill>
            <a:round/>
          </a:ln>
          <a:effectLst>
            <a:glow rad="139700">
              <a:schemeClr val="bg1">
                <a:alpha val="40000"/>
              </a:schemeClr>
            </a:glow>
            <a:outerShdw blurRad="50800" dist="50800" dir="5400000" sx="2000" sy="2000" algn="ctr" rotWithShape="0">
              <a:srgbClr val="000000">
                <a:alpha val="43137"/>
              </a:srgbClr>
            </a:outerShdw>
          </a:effectLst>
        </c:spPr>
        <c:marker>
          <c:symbol val="circle"/>
          <c:size val="5"/>
          <c:spPr>
            <a:solidFill>
              <a:srgbClr val="E012A0"/>
            </a:solidFill>
            <a:ln w="9525">
              <a:solidFill>
                <a:schemeClr val="accent1"/>
              </a:solidFill>
            </a:ln>
            <a:effectLst>
              <a:glow rad="139700">
                <a:schemeClr val="bg1">
                  <a:alpha val="40000"/>
                </a:schemeClr>
              </a:glow>
              <a:outerShdw blurRad="50800" dist="50800" dir="5400000" sx="2000" sy="2000" algn="ctr" rotWithShape="0">
                <a:srgbClr val="000000">
                  <a:alpha val="43137"/>
                </a:srgbClr>
              </a:outerShdw>
            </a:effectLst>
            <a:scene3d>
              <a:camera prst="orthographicFront"/>
              <a:lightRig rig="threePt" dir="t"/>
            </a:scene3d>
            <a:sp3d>
              <a:bevelB prst="relaxedInset"/>
            </a:sp3d>
          </c:spPr>
        </c:marker>
      </c:pivotFmt>
      <c:pivotFmt>
        <c:idx val="8"/>
        <c:spPr>
          <a:ln w="38100" cap="rnd">
            <a:solidFill>
              <a:srgbClr val="583253"/>
            </a:solidFill>
            <a:round/>
          </a:ln>
          <a:effectLst>
            <a:glow rad="139700">
              <a:schemeClr val="bg1">
                <a:alpha val="40000"/>
              </a:schemeClr>
            </a:glow>
          </a:effectLst>
        </c:spPr>
        <c:marker>
          <c:symbol val="circle"/>
          <c:size val="5"/>
          <c:spPr>
            <a:solidFill>
              <a:schemeClr val="accent1"/>
            </a:solidFill>
            <a:ln w="9525">
              <a:solidFill>
                <a:schemeClr val="accent1"/>
              </a:solidFill>
            </a:ln>
            <a:effectLst>
              <a:glow rad="139700">
                <a:schemeClr val="bg1">
                  <a:alpha val="40000"/>
                </a:schemeClr>
              </a:glow>
            </a:effectLst>
            <a:scene3d>
              <a:camera prst="orthographicFront"/>
              <a:lightRig rig="threePt" dir="t"/>
            </a:scene3d>
            <a:sp3d>
              <a:bevelT prst="angle"/>
              <a:bevelB prst="relaxedInset"/>
            </a:sp3d>
          </c:spPr>
        </c:marker>
        <c:dLbl>
          <c:idx val="0"/>
          <c:spPr>
            <a:solidFill>
              <a:sysClr val="window" lastClr="FFFFFF">
                <a:alpha val="99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l"/>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ln w="38100" cap="rnd">
            <a:solidFill>
              <a:srgbClr val="583253"/>
            </a:solidFill>
            <a:round/>
          </a:ln>
          <a:effectLst>
            <a:glow rad="139700">
              <a:schemeClr val="bg1">
                <a:alpha val="40000"/>
              </a:schemeClr>
            </a:glow>
            <a:outerShdw blurRad="50800" dist="50800" dir="5400000" sx="2000" sy="2000" algn="ctr" rotWithShape="0">
              <a:srgbClr val="000000">
                <a:alpha val="43137"/>
              </a:srgbClr>
            </a:outerShdw>
          </a:effectLst>
        </c:spPr>
        <c:marker>
          <c:spPr>
            <a:solidFill>
              <a:srgbClr val="E012A0"/>
            </a:solidFill>
            <a:ln w="9525">
              <a:solidFill>
                <a:schemeClr val="accent1"/>
              </a:solidFill>
            </a:ln>
            <a:effectLst>
              <a:glow rad="139700">
                <a:schemeClr val="bg1">
                  <a:alpha val="40000"/>
                </a:schemeClr>
              </a:glow>
              <a:outerShdw blurRad="50800" dist="50800" dir="5400000" sx="2000" sy="2000" algn="ctr" rotWithShape="0">
                <a:srgbClr val="000000">
                  <a:alpha val="43137"/>
                </a:srgbClr>
              </a:outerShdw>
            </a:effectLst>
            <a:scene3d>
              <a:camera prst="orthographicFront"/>
              <a:lightRig rig="threePt" dir="t"/>
            </a:scene3d>
            <a:sp3d>
              <a:bevelB prst="relaxedInset"/>
            </a:sp3d>
          </c:spPr>
        </c:marker>
      </c:pivotFmt>
      <c:pivotFmt>
        <c:idx val="10"/>
        <c:spPr>
          <a:ln w="38100" cap="rnd">
            <a:solidFill>
              <a:srgbClr val="583253"/>
            </a:solidFill>
            <a:round/>
          </a:ln>
          <a:effectLst>
            <a:glow rad="139700">
              <a:schemeClr val="bg1">
                <a:alpha val="40000"/>
              </a:schemeClr>
            </a:glow>
          </a:effectLst>
        </c:spPr>
        <c:marker>
          <c:symbol val="circle"/>
          <c:size val="5"/>
          <c:spPr>
            <a:solidFill>
              <a:schemeClr val="accent1"/>
            </a:solidFill>
            <a:ln w="9525">
              <a:solidFill>
                <a:schemeClr val="accent1"/>
              </a:solidFill>
            </a:ln>
            <a:effectLst>
              <a:glow rad="139700">
                <a:schemeClr val="bg1">
                  <a:alpha val="40000"/>
                </a:schemeClr>
              </a:glow>
            </a:effectLst>
            <a:scene3d>
              <a:camera prst="orthographicFront"/>
              <a:lightRig rig="threePt" dir="t"/>
            </a:scene3d>
            <a:sp3d>
              <a:bevelT prst="angle"/>
              <a:bevelB prst="relaxedInset"/>
            </a:sp3d>
          </c:spPr>
        </c:marker>
        <c:dLbl>
          <c:idx val="0"/>
          <c:spPr>
            <a:solidFill>
              <a:sysClr val="window" lastClr="FFFFFF">
                <a:alpha val="99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l"/>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ln w="38100" cap="rnd">
            <a:solidFill>
              <a:srgbClr val="583253"/>
            </a:solidFill>
            <a:round/>
          </a:ln>
          <a:effectLst>
            <a:glow rad="139700">
              <a:schemeClr val="bg1">
                <a:alpha val="40000"/>
              </a:schemeClr>
            </a:glow>
            <a:outerShdw blurRad="50800" dist="50800" dir="5400000" sx="2000" sy="2000" algn="ctr" rotWithShape="0">
              <a:srgbClr val="000000">
                <a:alpha val="43137"/>
              </a:srgbClr>
            </a:outerShdw>
          </a:effectLst>
        </c:spPr>
        <c:marker>
          <c:spPr>
            <a:solidFill>
              <a:srgbClr val="E012A0"/>
            </a:solidFill>
            <a:ln w="9525">
              <a:solidFill>
                <a:schemeClr val="accent1"/>
              </a:solidFill>
            </a:ln>
            <a:effectLst>
              <a:glow rad="139700">
                <a:schemeClr val="bg1">
                  <a:alpha val="40000"/>
                </a:schemeClr>
              </a:glow>
              <a:outerShdw blurRad="50800" dist="50800" dir="5400000" sx="2000" sy="2000" algn="ctr" rotWithShape="0">
                <a:srgbClr val="000000">
                  <a:alpha val="43137"/>
                </a:srgbClr>
              </a:outerShdw>
            </a:effectLst>
            <a:scene3d>
              <a:camera prst="orthographicFront"/>
              <a:lightRig rig="threePt" dir="t"/>
            </a:scene3d>
            <a:sp3d>
              <a:bevelB prst="relaxedInset"/>
            </a:sp3d>
          </c:spPr>
        </c:marker>
      </c:pivotFmt>
    </c:pivotFmts>
    <c:plotArea>
      <c:layout>
        <c:manualLayout>
          <c:layoutTarget val="inner"/>
          <c:xMode val="edge"/>
          <c:yMode val="edge"/>
          <c:x val="0.21308356616713231"/>
          <c:y val="0.22624781277340328"/>
          <c:w val="0.60687431208195752"/>
          <c:h val="0.55531313794109072"/>
        </c:manualLayout>
      </c:layout>
      <c:lineChart>
        <c:grouping val="standard"/>
        <c:varyColors val="0"/>
        <c:ser>
          <c:idx val="0"/>
          <c:order val="0"/>
          <c:tx>
            <c:strRef>
              <c:f>Sheet5!$B$3</c:f>
              <c:strCache>
                <c:ptCount val="1"/>
                <c:pt idx="0">
                  <c:v>Total</c:v>
                </c:pt>
              </c:strCache>
            </c:strRef>
          </c:tx>
          <c:spPr>
            <a:ln w="38100" cap="rnd">
              <a:solidFill>
                <a:srgbClr val="583253"/>
              </a:solidFill>
              <a:round/>
            </a:ln>
            <a:effectLst>
              <a:glow rad="139700">
                <a:schemeClr val="bg1">
                  <a:alpha val="40000"/>
                </a:schemeClr>
              </a:glow>
            </a:effectLst>
          </c:spPr>
          <c:marker>
            <c:symbol val="circle"/>
            <c:size val="5"/>
            <c:spPr>
              <a:solidFill>
                <a:schemeClr val="accent1"/>
              </a:solidFill>
              <a:ln w="9525">
                <a:solidFill>
                  <a:schemeClr val="accent1"/>
                </a:solidFill>
              </a:ln>
              <a:effectLst>
                <a:glow rad="139700">
                  <a:schemeClr val="bg1">
                    <a:alpha val="40000"/>
                  </a:schemeClr>
                </a:glow>
              </a:effectLst>
              <a:scene3d>
                <a:camera prst="orthographicFront"/>
                <a:lightRig rig="threePt" dir="t"/>
              </a:scene3d>
              <a:sp3d>
                <a:bevelT prst="angle"/>
                <a:bevelB prst="relaxedInset"/>
              </a:sp3d>
            </c:spPr>
          </c:marker>
          <c:dPt>
            <c:idx val="1"/>
            <c:marker>
              <c:spPr>
                <a:solidFill>
                  <a:srgbClr val="E012A0"/>
                </a:solidFill>
                <a:ln w="9525">
                  <a:solidFill>
                    <a:schemeClr val="accent1"/>
                  </a:solidFill>
                </a:ln>
                <a:effectLst>
                  <a:glow rad="139700">
                    <a:schemeClr val="bg1">
                      <a:alpha val="40000"/>
                    </a:schemeClr>
                  </a:glow>
                  <a:outerShdw blurRad="50800" dist="50800" dir="5400000" sx="2000" sy="2000" algn="ctr" rotWithShape="0">
                    <a:srgbClr val="000000">
                      <a:alpha val="43137"/>
                    </a:srgbClr>
                  </a:outerShdw>
                </a:effectLst>
                <a:scene3d>
                  <a:camera prst="orthographicFront"/>
                  <a:lightRig rig="threePt" dir="t"/>
                </a:scene3d>
                <a:sp3d>
                  <a:bevelB prst="relaxedInset"/>
                </a:sp3d>
              </c:spPr>
            </c:marker>
            <c:bubble3D val="0"/>
            <c:spPr>
              <a:ln w="38100" cap="rnd">
                <a:solidFill>
                  <a:srgbClr val="583253"/>
                </a:solidFill>
                <a:round/>
              </a:ln>
              <a:effectLst>
                <a:glow rad="139700">
                  <a:schemeClr val="bg1">
                    <a:alpha val="40000"/>
                  </a:schemeClr>
                </a:glow>
                <a:outerShdw blurRad="50800" dist="50800" dir="5400000" sx="2000" sy="2000" algn="ctr" rotWithShape="0">
                  <a:srgbClr val="000000">
                    <a:alpha val="43137"/>
                  </a:srgbClr>
                </a:outerShdw>
              </a:effectLst>
            </c:spPr>
            <c:extLst>
              <c:ext xmlns:c16="http://schemas.microsoft.com/office/drawing/2014/chart" uri="{C3380CC4-5D6E-409C-BE32-E72D297353CC}">
                <c16:uniqueId val="{00000001-5BE9-46F7-8A0A-FD07D2014C83}"/>
              </c:ext>
            </c:extLst>
          </c:dPt>
          <c:dLbls>
            <c:spPr>
              <a:solidFill>
                <a:sysClr val="window" lastClr="FFFFFF">
                  <a:alpha val="99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l"/>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Sheet5!$A$4:$A$6</c:f>
              <c:strCache>
                <c:ptCount val="2"/>
                <c:pt idx="0">
                  <c:v>Jan</c:v>
                </c:pt>
                <c:pt idx="1">
                  <c:v>Feb</c:v>
                </c:pt>
              </c:strCache>
            </c:strRef>
          </c:cat>
          <c:val>
            <c:numRef>
              <c:f>Sheet5!$B$4:$B$6</c:f>
              <c:numCache>
                <c:formatCode>General</c:formatCode>
                <c:ptCount val="2"/>
                <c:pt idx="0">
                  <c:v>390800</c:v>
                </c:pt>
                <c:pt idx="1">
                  <c:v>83150</c:v>
                </c:pt>
              </c:numCache>
            </c:numRef>
          </c:val>
          <c:smooth val="0"/>
          <c:extLst>
            <c:ext xmlns:c16="http://schemas.microsoft.com/office/drawing/2014/chart" uri="{C3380CC4-5D6E-409C-BE32-E72D297353CC}">
              <c16:uniqueId val="{00000002-5BE9-46F7-8A0A-FD07D2014C83}"/>
            </c:ext>
          </c:extLst>
        </c:ser>
        <c:dLbls>
          <c:showLegendKey val="0"/>
          <c:showVal val="0"/>
          <c:showCatName val="0"/>
          <c:showSerName val="0"/>
          <c:showPercent val="0"/>
          <c:showBubbleSize val="0"/>
        </c:dLbls>
        <c:marker val="1"/>
        <c:smooth val="0"/>
        <c:axId val="2003162463"/>
        <c:axId val="2003167743"/>
      </c:lineChart>
      <c:catAx>
        <c:axId val="2003162463"/>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sz="1200">
                    <a:solidFill>
                      <a:schemeClr val="tx1"/>
                    </a:solidFill>
                  </a:rPr>
                  <a:t>Month</a:t>
                </a:r>
              </a:p>
            </c:rich>
          </c:tx>
          <c:overlay val="0"/>
          <c:spPr>
            <a:noFill/>
            <a:ln>
              <a:noFill/>
            </a:ln>
            <a:effectLst/>
          </c:sp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003167743"/>
        <c:crosses val="autoZero"/>
        <c:auto val="1"/>
        <c:lblAlgn val="ctr"/>
        <c:lblOffset val="100"/>
        <c:noMultiLvlLbl val="0"/>
      </c:catAx>
      <c:valAx>
        <c:axId val="2003167743"/>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sz="1200">
                    <a:solidFill>
                      <a:schemeClr val="tx1"/>
                    </a:solidFill>
                  </a:rPr>
                  <a:t>Sales</a:t>
                </a:r>
              </a:p>
            </c:rich>
          </c:tx>
          <c:layout>
            <c:manualLayout>
              <c:xMode val="edge"/>
              <c:yMode val="edge"/>
              <c:x val="4.1939679081268146E-2"/>
              <c:y val="0.4121103091280256"/>
            </c:manualLayout>
          </c:layout>
          <c:overlay val="0"/>
          <c:spPr>
            <a:noFill/>
            <a:ln>
              <a:noFill/>
            </a:ln>
            <a:effectLst/>
          </c:sp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003162463"/>
        <c:crosses val="autoZero"/>
        <c:crossBetween val="between"/>
      </c:valAx>
    </c:plotArea>
    <c:legend>
      <c:legendPos val="r"/>
      <c:layout>
        <c:manualLayout>
          <c:xMode val="edge"/>
          <c:yMode val="edge"/>
          <c:x val="0.82145466964835556"/>
          <c:y val="0.37868000874890639"/>
          <c:w val="0.15007745625586119"/>
          <c:h val="0.2199085010207057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[Sales_Data_Dashboard(1).xlsx]Sheet3!Sales by Region</c:name>
    <c:fmtId val="20"/>
  </c:pivotSource>
  <c:chart>
    <c:title>
      <c:tx>
        <c:rich>
          <a:bodyPr rot="0" spcFirstLastPara="1" vertOverflow="ellipsis" vert="horz" wrap="square" anchor="ctr" anchorCtr="1"/>
          <a:lstStyle/>
          <a:p>
            <a:pPr>
              <a:defRPr sz="1600" b="0" i="0" u="none" strike="noStrike" kern="1200" spc="0" baseline="0">
                <a:solidFill>
                  <a:schemeClr val="tx1">
                    <a:lumMod val="95000"/>
                    <a:lumOff val="5000"/>
                  </a:schemeClr>
                </a:solidFill>
                <a:latin typeface="+mn-lt"/>
                <a:ea typeface="+mn-ea"/>
                <a:cs typeface="+mn-cs"/>
              </a:defRPr>
            </a:pPr>
            <a:r>
              <a:rPr lang="en-US" sz="1600" b="1" i="0" u="none" strike="noStrike" baseline="0">
                <a:solidFill>
                  <a:schemeClr val="tx1">
                    <a:lumMod val="95000"/>
                    <a:lumOff val="5000"/>
                  </a:schemeClr>
                </a:solidFill>
              </a:rPr>
              <a:t>Sales by Region</a:t>
            </a:r>
            <a:endParaRPr lang="en-US" sz="1600" b="1">
              <a:solidFill>
                <a:schemeClr val="tx1">
                  <a:lumMod val="95000"/>
                  <a:lumOff val="5000"/>
                </a:schemeClr>
              </a:solidFill>
            </a:endParaRPr>
          </a:p>
        </c:rich>
      </c:tx>
      <c:layout>
        <c:manualLayout>
          <c:xMode val="edge"/>
          <c:yMode val="edge"/>
          <c:x val="0.38958792487290028"/>
          <c:y val="8.831629430888106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rgbClr val="FF0000"/>
          </a:solidFill>
          <a:ln cap="rnd" cmpd="sng">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prstDash val="sysDash"/>
          </a:ln>
          <a:effectLst>
            <a:glow rad="228600">
              <a:srgbClr val="C00000">
                <a:alpha val="40000"/>
              </a:srgbClr>
            </a:glow>
          </a:effectLst>
          <a:scene3d>
            <a:camera prst="orthographicFront"/>
            <a:lightRig rig="sunse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alpha val="91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cap="rnd" cmpd="sng">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prstDash val="sysDash"/>
          </a:ln>
          <a:effectLst>
            <a:glow rad="228600">
              <a:srgbClr val="C00000">
                <a:alpha val="40000"/>
              </a:srgbClr>
            </a:glow>
          </a:effectLst>
          <a:scene3d>
            <a:camera prst="orthographicFront"/>
            <a:lightRig rig="sunse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alpha val="91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cap="rnd" cmpd="sng">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prstDash val="sysDash"/>
          </a:ln>
          <a:effectLst>
            <a:glow rad="228600">
              <a:schemeClr val="bg1">
                <a:alpha val="40000"/>
              </a:schemeClr>
            </a:glow>
          </a:effectLst>
          <a:scene3d>
            <a:camera prst="orthographicFront"/>
            <a:lightRig rig="sunse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alpha val="91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cap="rnd" cmpd="sng">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prstDash val="sysDash"/>
          </a:ln>
          <a:effectLst>
            <a:glow rad="228600">
              <a:schemeClr val="bg1">
                <a:alpha val="40000"/>
              </a:schemeClr>
            </a:glow>
          </a:effectLst>
          <a:scene3d>
            <a:camera prst="orthographicFront"/>
            <a:lightRig rig="sunse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alpha val="91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cap="rnd" cmpd="sng">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prstDash val="sysDash"/>
          </a:ln>
          <a:effectLst>
            <a:glow rad="228600">
              <a:schemeClr val="bg1">
                <a:alpha val="40000"/>
              </a:schemeClr>
            </a:glow>
          </a:effectLst>
          <a:scene3d>
            <a:camera prst="orthographicFront"/>
            <a:lightRig rig="sunse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alpha val="91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1852565191941"/>
          <c:y val="0.17855058117735279"/>
          <c:w val="0.68963009120262841"/>
          <c:h val="0.6429798275215598"/>
        </c:manualLayout>
      </c:layout>
      <c:barChart>
        <c:barDir val="bar"/>
        <c:grouping val="clustered"/>
        <c:varyColors val="0"/>
        <c:ser>
          <c:idx val="0"/>
          <c:order val="0"/>
          <c:tx>
            <c:strRef>
              <c:f>Sheet3!$B$3</c:f>
              <c:strCache>
                <c:ptCount val="1"/>
                <c:pt idx="0">
                  <c:v>Total</c:v>
                </c:pt>
              </c:strCache>
            </c:strRef>
          </c:tx>
          <c:spPr>
            <a:solidFill>
              <a:srgbClr val="FF0000"/>
            </a:solidFill>
            <a:ln cap="rnd" cmpd="sng">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prstDash val="sysDash"/>
            </a:ln>
            <a:effectLst>
              <a:glow rad="228600">
                <a:schemeClr val="bg1">
                  <a:alpha val="40000"/>
                </a:schemeClr>
              </a:glow>
            </a:effectLst>
            <a:scene3d>
              <a:camera prst="orthographicFront"/>
              <a:lightRig rig="sunset" dir="t"/>
            </a:scene3d>
            <a:sp3d>
              <a:bevelT prst="angle"/>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alpha val="91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East</c:v>
                </c:pt>
                <c:pt idx="1">
                  <c:v>North</c:v>
                </c:pt>
                <c:pt idx="2">
                  <c:v>South</c:v>
                </c:pt>
                <c:pt idx="3">
                  <c:v>West</c:v>
                </c:pt>
              </c:strCache>
            </c:strRef>
          </c:cat>
          <c:val>
            <c:numRef>
              <c:f>Sheet3!$B$4:$B$8</c:f>
              <c:numCache>
                <c:formatCode>General</c:formatCode>
                <c:ptCount val="4"/>
                <c:pt idx="0">
                  <c:v>111300</c:v>
                </c:pt>
                <c:pt idx="1">
                  <c:v>166800</c:v>
                </c:pt>
                <c:pt idx="2">
                  <c:v>84700</c:v>
                </c:pt>
                <c:pt idx="3">
                  <c:v>111150</c:v>
                </c:pt>
              </c:numCache>
            </c:numRef>
          </c:val>
          <c:extLst>
            <c:ext xmlns:c16="http://schemas.microsoft.com/office/drawing/2014/chart" uri="{C3380CC4-5D6E-409C-BE32-E72D297353CC}">
              <c16:uniqueId val="{00000000-2BF6-48CD-AEE9-C6F70E837103}"/>
            </c:ext>
          </c:extLst>
        </c:ser>
        <c:dLbls>
          <c:showLegendKey val="0"/>
          <c:showVal val="0"/>
          <c:showCatName val="0"/>
          <c:showSerName val="0"/>
          <c:showPercent val="0"/>
          <c:showBubbleSize val="0"/>
        </c:dLbls>
        <c:gapWidth val="182"/>
        <c:axId val="2003162943"/>
        <c:axId val="2003154783"/>
      </c:barChart>
      <c:catAx>
        <c:axId val="2003162943"/>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 </a:t>
                </a:r>
                <a:r>
                  <a:rPr lang="en-US" sz="1200" b="1">
                    <a:solidFill>
                      <a:schemeClr val="tx1"/>
                    </a:solidFill>
                  </a:rPr>
                  <a:t>Region</a:t>
                </a:r>
              </a:p>
            </c:rich>
          </c:tx>
          <c:layout>
            <c:manualLayout>
              <c:xMode val="edge"/>
              <c:yMode val="edge"/>
              <c:x val="0.12379092553669835"/>
              <c:y val="0.42662490929640984"/>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2003154783"/>
        <c:crosses val="autoZero"/>
        <c:auto val="1"/>
        <c:lblAlgn val="ctr"/>
        <c:lblOffset val="100"/>
        <c:noMultiLvlLbl val="0"/>
      </c:catAx>
      <c:valAx>
        <c:axId val="2003154783"/>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1">
                    <a:solidFill>
                      <a:schemeClr val="tx1">
                        <a:lumMod val="95000"/>
                        <a:lumOff val="5000"/>
                      </a:schemeClr>
                    </a:solidFill>
                  </a:rPr>
                  <a:t>Sales</a:t>
                </a:r>
              </a:p>
            </c:rich>
          </c:tx>
          <c:layout>
            <c:manualLayout>
              <c:xMode val="edge"/>
              <c:yMode val="edge"/>
              <c:x val="0.49124605827149315"/>
              <c:y val="0.8946666666666667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200316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[Sales_Data_Dashboard(1).xlsx]Sheet4!Profit by Category</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t>Profit by Category</a:t>
            </a:r>
          </a:p>
        </c:rich>
      </c:tx>
      <c:layout>
        <c:manualLayout>
          <c:xMode val="edge"/>
          <c:yMode val="edge"/>
          <c:x val="0.37159660910485498"/>
          <c:y val="9.977875335354169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00627"/>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glow rad="63500">
              <a:schemeClr val="accent2">
                <a:satMod val="175000"/>
                <a:alpha val="40000"/>
              </a:schemeClr>
            </a:glow>
            <a:outerShdw blurRad="50800" dist="38100" dir="2700000" algn="tl" rotWithShape="0">
              <a:prstClr val="black">
                <a:alpha val="40000"/>
              </a:prstClr>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accent2">
                <a:satMod val="175000"/>
                <a:alpha val="40000"/>
              </a:schemeClr>
            </a:glow>
            <a:outerShdw blurRad="50800" dist="38100" dir="5400000" algn="t" rotWithShape="0">
              <a:srgbClr val="E012A0">
                <a:alpha val="40000"/>
              </a:srgbClr>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012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accent2">
                <a:satMod val="175000"/>
                <a:alpha val="40000"/>
              </a:schemeClr>
            </a:glow>
            <a:outerShdw blurRad="50800" dist="38100" dir="5400000" algn="t" rotWithShape="0">
              <a:prstClr val="black">
                <a:alpha val="40000"/>
              </a:prstClr>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00627"/>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glow rad="63500">
              <a:schemeClr val="accent2">
                <a:satMod val="175000"/>
                <a:alpha val="40000"/>
              </a:schemeClr>
            </a:glow>
            <a:outerShdw blurRad="50800" dist="38100" dir="2700000" algn="tl" rotWithShape="0">
              <a:prstClr val="black">
                <a:alpha val="40000"/>
              </a:prstClr>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accent2">
                <a:satMod val="175000"/>
                <a:alpha val="40000"/>
              </a:schemeClr>
            </a:glow>
            <a:outerShdw blurRad="50800" dist="38100" dir="5400000" algn="t" rotWithShape="0">
              <a:srgbClr val="E012A0">
                <a:alpha val="40000"/>
              </a:srgbClr>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012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accent2">
                <a:satMod val="175000"/>
                <a:alpha val="40000"/>
              </a:schemeClr>
            </a:glow>
            <a:outerShdw blurRad="50800" dist="38100" dir="5400000" algn="t" rotWithShape="0">
              <a:prstClr val="black">
                <a:alpha val="40000"/>
              </a:prstClr>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outerShdw blurRad="50800" dist="50800" dir="5400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00627"/>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030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012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a:outerShdw blurRad="50800" dist="50800" dir="5400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00627"/>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7030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E012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a:outerShdw blurRad="50800" dist="50800" dir="5400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00627"/>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7030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E012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13429571303587"/>
          <c:y val="0.32532377276756308"/>
          <c:w val="0.38229636920384952"/>
          <c:h val="0.60283264526231195"/>
        </c:manualLayout>
      </c:layout>
      <c:pieChart>
        <c:varyColors val="1"/>
        <c:ser>
          <c:idx val="0"/>
          <c:order val="0"/>
          <c:tx>
            <c:strRef>
              <c:f>Sheet4!$B$3</c:f>
              <c:strCache>
                <c:ptCount val="1"/>
                <c:pt idx="0">
                  <c:v>Total</c:v>
                </c:pt>
              </c:strCache>
            </c:strRef>
          </c:tx>
          <c:spPr>
            <a:effectLst>
              <a:outerShdw blurRad="50800" dist="50800" dir="5400000" algn="ctr" rotWithShape="0">
                <a:schemeClr val="bg1"/>
              </a:outerShdw>
            </a:effectLst>
          </c:spPr>
          <c:dPt>
            <c:idx val="0"/>
            <c:bubble3D val="0"/>
            <c:spPr>
              <a:solidFill>
                <a:srgbClr val="F00627"/>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extLst>
              <c:ext xmlns:c16="http://schemas.microsoft.com/office/drawing/2014/chart" uri="{C3380CC4-5D6E-409C-BE32-E72D297353CC}">
                <c16:uniqueId val="{00000001-D337-46E2-A840-9F191F203B7A}"/>
              </c:ext>
            </c:extLst>
          </c:dPt>
          <c:dPt>
            <c:idx val="1"/>
            <c:bubble3D val="0"/>
            <c:spPr>
              <a:solidFill>
                <a:srgbClr val="7030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extLst>
              <c:ext xmlns:c16="http://schemas.microsoft.com/office/drawing/2014/chart" uri="{C3380CC4-5D6E-409C-BE32-E72D297353CC}">
                <c16:uniqueId val="{00000003-D337-46E2-A840-9F191F203B7A}"/>
              </c:ext>
            </c:extLst>
          </c:dPt>
          <c:dPt>
            <c:idx val="2"/>
            <c:bubble3D val="0"/>
            <c:spPr>
              <a:solidFill>
                <a:srgbClr val="E012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extLst>
              <c:ext xmlns:c16="http://schemas.microsoft.com/office/drawing/2014/chart" uri="{C3380CC4-5D6E-409C-BE32-E72D297353CC}">
                <c16:uniqueId val="{00000005-D337-46E2-A840-9F191F203B7A}"/>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37-46E2-A840-9F191F203B7A}"/>
                </c:ext>
              </c:extLst>
            </c:dLbl>
            <c:dLbl>
              <c:idx val="1"/>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37-46E2-A840-9F191F203B7A}"/>
                </c:ext>
              </c:extLst>
            </c:dLbl>
            <c:dLbl>
              <c:idx val="2"/>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337-46E2-A840-9F191F203B7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Sheet4!$A$4:$A$7</c:f>
              <c:strCache>
                <c:ptCount val="3"/>
                <c:pt idx="0">
                  <c:v>Electronics</c:v>
                </c:pt>
                <c:pt idx="1">
                  <c:v>Furniture</c:v>
                </c:pt>
                <c:pt idx="2">
                  <c:v>Office Supplies</c:v>
                </c:pt>
              </c:strCache>
            </c:strRef>
          </c:cat>
          <c:val>
            <c:numRef>
              <c:f>Sheet4!$B$4:$B$7</c:f>
              <c:numCache>
                <c:formatCode>General</c:formatCode>
                <c:ptCount val="3"/>
                <c:pt idx="0">
                  <c:v>38400</c:v>
                </c:pt>
                <c:pt idx="1">
                  <c:v>37600</c:v>
                </c:pt>
                <c:pt idx="2">
                  <c:v>3230</c:v>
                </c:pt>
              </c:numCache>
            </c:numRef>
          </c:val>
          <c:extLst>
            <c:ext xmlns:c16="http://schemas.microsoft.com/office/drawing/2014/chart" uri="{C3380CC4-5D6E-409C-BE32-E72D297353CC}">
              <c16:uniqueId val="{00000006-D337-46E2-A840-9F191F203B7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6112029746281729"/>
          <c:y val="0.28869130941965587"/>
          <c:w val="0.20276859142607173"/>
          <c:h val="0.49145778652668415"/>
        </c:manualLayout>
      </c:layout>
      <c:overlay val="0"/>
      <c:spPr>
        <a:noFill/>
        <a:ln>
          <a:noFill/>
        </a:ln>
        <a:effectLst>
          <a:glow rad="63500">
            <a:schemeClr val="accent1">
              <a:satMod val="175000"/>
              <a:alpha val="40000"/>
            </a:schemeClr>
          </a:glow>
          <a:outerShdw blurRad="50800" dist="50800" algn="ctr" rotWithShape="0">
            <a:srgbClr val="000000">
              <a:alpha val="43137"/>
            </a:srgbClr>
          </a:outerShdw>
        </a:effectLst>
      </c:spPr>
      <c:txPr>
        <a:bodyPr rot="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[Sales_Data_Dashboard(1).xlsx]Sheet6!Top Products</c:name>
    <c:fmtId val="10"/>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i="0" u="none" strike="noStrike" baseline="0"/>
              <a:t>Top Products</a:t>
            </a:r>
            <a:endParaRPr lang="en-US"/>
          </a:p>
        </c:rich>
      </c:tx>
      <c:layout>
        <c:manualLayout>
          <c:xMode val="edge"/>
          <c:yMode val="edge"/>
          <c:x val="0.41421759627096588"/>
          <c:y val="8.571178509610918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CC0066"/>
          </a:solidFill>
          <a:ln>
            <a:noFill/>
          </a:ln>
          <a:effectLst>
            <a:glow rad="127000">
              <a:srgbClr val="E012A0">
                <a:alpha val="95000"/>
              </a:srgbClr>
            </a:glow>
          </a:effectLst>
          <a:scene3d>
            <a:camera prst="orthographicFront"/>
            <a:lightRig rig="flat" dir="t"/>
          </a:scene3d>
          <a:sp3d prstMaterial="dkEdge">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0066"/>
          </a:solidFill>
          <a:ln>
            <a:noFill/>
          </a:ln>
          <a:effectLst>
            <a:glow rad="127000">
              <a:srgbClr val="E012A0">
                <a:alpha val="95000"/>
              </a:srgbClr>
            </a:glow>
          </a:effectLst>
          <a:scene3d>
            <a:camera prst="orthographicFront"/>
            <a:lightRig rig="flat" dir="t"/>
          </a:scene3d>
          <a:sp3d prstMaterial="dkEdge">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C0066"/>
          </a:solidFill>
          <a:ln>
            <a:noFill/>
          </a:ln>
          <a:effectLst>
            <a:glow rad="127000">
              <a:schemeClr val="bg1">
                <a:alpha val="95000"/>
              </a:schemeClr>
            </a:glow>
          </a:effectLst>
          <a:scene3d>
            <a:camera prst="orthographicFront"/>
            <a:lightRig rig="flat" dir="t"/>
          </a:scene3d>
          <a:sp3d prstMaterial="dkEdge">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C0066"/>
          </a:solidFill>
          <a:ln>
            <a:noFill/>
          </a:ln>
          <a:effectLst>
            <a:glow rad="127000">
              <a:schemeClr val="bg1">
                <a:alpha val="95000"/>
              </a:schemeClr>
            </a:glow>
          </a:effectLst>
          <a:scene3d>
            <a:camera prst="orthographicFront"/>
            <a:lightRig rig="flat" dir="t"/>
          </a:scene3d>
          <a:sp3d prstMaterial="dkEdge">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C0066"/>
          </a:solidFill>
          <a:ln>
            <a:noFill/>
          </a:ln>
          <a:effectLst>
            <a:glow rad="127000">
              <a:schemeClr val="bg1">
                <a:alpha val="95000"/>
              </a:schemeClr>
            </a:glow>
          </a:effectLst>
          <a:scene3d>
            <a:camera prst="orthographicFront"/>
            <a:lightRig rig="flat" dir="t"/>
          </a:scene3d>
          <a:sp3d prstMaterial="dkEdge">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6035346882755"/>
          <c:y val="0.26328484981044037"/>
          <c:w val="0.76725925058624178"/>
          <c:h val="0.4350667104111986"/>
        </c:manualLayout>
      </c:layout>
      <c:barChart>
        <c:barDir val="col"/>
        <c:grouping val="clustered"/>
        <c:varyColors val="0"/>
        <c:ser>
          <c:idx val="0"/>
          <c:order val="0"/>
          <c:tx>
            <c:strRef>
              <c:f>Sheet6!$B$3</c:f>
              <c:strCache>
                <c:ptCount val="1"/>
                <c:pt idx="0">
                  <c:v>Total</c:v>
                </c:pt>
              </c:strCache>
            </c:strRef>
          </c:tx>
          <c:spPr>
            <a:solidFill>
              <a:srgbClr val="CC0066"/>
            </a:solidFill>
            <a:ln>
              <a:noFill/>
            </a:ln>
            <a:effectLst>
              <a:glow rad="127000">
                <a:schemeClr val="bg1">
                  <a:alpha val="95000"/>
                </a:schemeClr>
              </a:glow>
            </a:effectLst>
            <a:scene3d>
              <a:camera prst="orthographicFront"/>
              <a:lightRig rig="flat" dir="t"/>
            </a:scene3d>
            <a:sp3d prstMaterial="dkEdge">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Sheet6!$A$4:$A$14</c:f>
              <c:strCache>
                <c:ptCount val="10"/>
                <c:pt idx="0">
                  <c:v>Bed</c:v>
                </c:pt>
                <c:pt idx="1">
                  <c:v>Camera</c:v>
                </c:pt>
                <c:pt idx="2">
                  <c:v>Chair</c:v>
                </c:pt>
                <c:pt idx="3">
                  <c:v>Cupboard</c:v>
                </c:pt>
                <c:pt idx="4">
                  <c:v>Laptop</c:v>
                </c:pt>
                <c:pt idx="5">
                  <c:v>Mobile</c:v>
                </c:pt>
                <c:pt idx="6">
                  <c:v>Monitor</c:v>
                </c:pt>
                <c:pt idx="7">
                  <c:v>Sofa</c:v>
                </c:pt>
                <c:pt idx="8">
                  <c:v>Table</c:v>
                </c:pt>
                <c:pt idx="9">
                  <c:v>Tablet</c:v>
                </c:pt>
              </c:strCache>
            </c:strRef>
          </c:cat>
          <c:val>
            <c:numRef>
              <c:f>Sheet6!$B$4:$B$14</c:f>
              <c:numCache>
                <c:formatCode>General</c:formatCode>
                <c:ptCount val="10"/>
                <c:pt idx="0">
                  <c:v>62000</c:v>
                </c:pt>
                <c:pt idx="1">
                  <c:v>51000</c:v>
                </c:pt>
                <c:pt idx="2">
                  <c:v>16500</c:v>
                </c:pt>
                <c:pt idx="3">
                  <c:v>41000</c:v>
                </c:pt>
                <c:pt idx="4">
                  <c:v>92000</c:v>
                </c:pt>
                <c:pt idx="5">
                  <c:v>42000</c:v>
                </c:pt>
                <c:pt idx="6">
                  <c:v>25000</c:v>
                </c:pt>
                <c:pt idx="7">
                  <c:v>52000</c:v>
                </c:pt>
                <c:pt idx="8">
                  <c:v>22300</c:v>
                </c:pt>
                <c:pt idx="9">
                  <c:v>31000</c:v>
                </c:pt>
              </c:numCache>
            </c:numRef>
          </c:val>
          <c:extLst>
            <c:ext xmlns:c16="http://schemas.microsoft.com/office/drawing/2014/chart" uri="{C3380CC4-5D6E-409C-BE32-E72D297353CC}">
              <c16:uniqueId val="{00000000-9DAE-413F-9059-16AF7898E1F1}"/>
            </c:ext>
          </c:extLst>
        </c:ser>
        <c:dLbls>
          <c:showLegendKey val="0"/>
          <c:showVal val="0"/>
          <c:showCatName val="0"/>
          <c:showSerName val="0"/>
          <c:showPercent val="0"/>
          <c:showBubbleSize val="0"/>
        </c:dLbls>
        <c:gapWidth val="219"/>
        <c:overlap val="-27"/>
        <c:axId val="2013072719"/>
        <c:axId val="2013073199"/>
      </c:barChart>
      <c:catAx>
        <c:axId val="2013072719"/>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Product</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13073199"/>
        <c:crosses val="autoZero"/>
        <c:auto val="1"/>
        <c:lblAlgn val="ctr"/>
        <c:lblOffset val="100"/>
        <c:noMultiLvlLbl val="0"/>
      </c:catAx>
      <c:valAx>
        <c:axId val="2013073199"/>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a:solidFill>
                      <a:sysClr val="windowText" lastClr="000000"/>
                    </a:solidFill>
                  </a:rPr>
                  <a:t>Sales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13072719"/>
        <c:crosses val="autoZero"/>
        <c:crossBetween val="between"/>
      </c:valAx>
      <c:spPr>
        <a:noFill/>
        <a:ln>
          <a:noFill/>
        </a:ln>
        <a:effectLst/>
      </c:spPr>
    </c:plotArea>
    <c:legend>
      <c:legendPos val="r"/>
      <c:layout>
        <c:manualLayout>
          <c:xMode val="edge"/>
          <c:yMode val="edge"/>
          <c:x val="0.85711716261120563"/>
          <c:y val="0.15755080974590407"/>
          <c:w val="0.11915464990866641"/>
          <c:h val="0.116969416592710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[Sales_Data_Dashboard(1).xlsx]Sheet5!Monthly Sales Trend</c:name>
    <c:fmtId val="2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t>Monthly Sales Trend</a:t>
            </a:r>
            <a:endParaRPr lang="en-US" b="1">
              <a:solidFill>
                <a:schemeClr val="tx1"/>
              </a:solidFill>
            </a:endParaRPr>
          </a:p>
        </c:rich>
      </c:tx>
      <c:overlay val="0"/>
      <c:spPr>
        <a:noFill/>
        <a:ln>
          <a:noFill/>
        </a:ln>
        <a:effectLst/>
      </c:spPr>
    </c:title>
    <c:autoTitleDeleted val="0"/>
    <c:pivotFmts>
      <c:pivotFmt>
        <c:idx val="0"/>
        <c:spPr>
          <a:solidFill>
            <a:schemeClr val="accent1"/>
          </a:solidFill>
          <a:ln w="38100" cap="rnd">
            <a:solidFill>
              <a:srgbClr val="583253"/>
            </a:solidFill>
            <a:round/>
          </a:ln>
          <a:effectLst>
            <a:glow rad="139700">
              <a:srgbClr val="E012A0">
                <a:alpha val="40000"/>
              </a:srgbClr>
            </a:glow>
          </a:effectLst>
        </c:spPr>
        <c:marker>
          <c:symbol val="circle"/>
          <c:size val="5"/>
          <c:spPr>
            <a:solidFill>
              <a:schemeClr val="accent1"/>
            </a:solidFill>
            <a:ln w="9525">
              <a:solidFill>
                <a:schemeClr val="accent1"/>
              </a:solidFill>
            </a:ln>
            <a:effectLst>
              <a:glow rad="139700">
                <a:srgbClr val="E012A0">
                  <a:alpha val="40000"/>
                </a:srgbClr>
              </a:glow>
            </a:effectLst>
            <a:scene3d>
              <a:camera prst="orthographicFront"/>
              <a:lightRig rig="threePt" dir="t"/>
            </a:scene3d>
            <a:sp3d>
              <a:bevelT prst="angle"/>
              <a:bevelB prst="relaxedInset"/>
            </a:sp3d>
          </c:spPr>
        </c:marker>
        <c:dLbl>
          <c:idx val="0"/>
          <c:spPr>
            <a:solidFill>
              <a:sysClr val="window" lastClr="FFFFFF">
                <a:alpha val="99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l"/>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38100" cap="rnd">
            <a:solidFill>
              <a:srgbClr val="583253"/>
            </a:solidFill>
            <a:round/>
          </a:ln>
          <a:effectLst>
            <a:glow rad="139700">
              <a:srgbClr val="E012A0">
                <a:alpha val="40000"/>
              </a:srgbClr>
            </a:glow>
            <a:outerShdw blurRad="50800" dist="50800" dir="5400000" sx="2000" sy="2000" algn="ctr" rotWithShape="0">
              <a:srgbClr val="000000">
                <a:alpha val="43137"/>
              </a:srgbClr>
            </a:outerShdw>
          </a:effectLst>
        </c:spPr>
        <c:marker>
          <c:symbol val="circle"/>
          <c:size val="5"/>
          <c:spPr>
            <a:solidFill>
              <a:srgbClr val="E012A0"/>
            </a:solidFill>
            <a:ln w="9525">
              <a:solidFill>
                <a:schemeClr val="accent1"/>
              </a:solidFill>
            </a:ln>
            <a:effectLst>
              <a:glow rad="139700">
                <a:srgbClr val="E012A0">
                  <a:alpha val="40000"/>
                </a:srgbClr>
              </a:glow>
              <a:outerShdw blurRad="50800" dist="50800" dir="5400000" sx="2000" sy="2000" algn="ctr" rotWithShape="0">
                <a:srgbClr val="000000">
                  <a:alpha val="43137"/>
                </a:srgbClr>
              </a:outerShdw>
            </a:effectLst>
            <a:scene3d>
              <a:camera prst="orthographicFront"/>
              <a:lightRig rig="threePt" dir="t"/>
            </a:scene3d>
            <a:sp3d>
              <a:bevelT/>
              <a:bevelB prst="relaxedInset"/>
            </a:sp3d>
          </c:spPr>
        </c:marker>
      </c:pivotFmt>
      <c:pivotFmt>
        <c:idx val="2"/>
        <c:spPr>
          <a:solidFill>
            <a:schemeClr val="accent1"/>
          </a:solidFill>
          <a:ln w="38100" cap="rnd">
            <a:solidFill>
              <a:srgbClr val="583253"/>
            </a:solidFill>
            <a:round/>
          </a:ln>
          <a:effectLst>
            <a:glow rad="139700">
              <a:srgbClr val="E012A0">
                <a:alpha val="40000"/>
              </a:srgbClr>
            </a:glow>
          </a:effectLst>
        </c:spPr>
        <c:marker>
          <c:symbol val="circle"/>
          <c:size val="5"/>
          <c:spPr>
            <a:solidFill>
              <a:schemeClr val="accent1"/>
            </a:solidFill>
            <a:ln w="9525">
              <a:solidFill>
                <a:schemeClr val="accent1"/>
              </a:solidFill>
            </a:ln>
            <a:effectLst>
              <a:glow rad="139700">
                <a:srgbClr val="E012A0">
                  <a:alpha val="40000"/>
                </a:srgbClr>
              </a:glow>
            </a:effectLst>
            <a:scene3d>
              <a:camera prst="orthographicFront"/>
              <a:lightRig rig="threePt" dir="t"/>
            </a:scene3d>
            <a:sp3d>
              <a:bevelT prst="angle"/>
              <a:bevelB prst="relaxedInset"/>
            </a:sp3d>
          </c:spPr>
        </c:marker>
        <c:dLbl>
          <c:idx val="0"/>
          <c:spPr>
            <a:solidFill>
              <a:sysClr val="window" lastClr="FFFFFF">
                <a:alpha val="99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l"/>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1"/>
          </a:solidFill>
          <a:ln w="38100" cap="rnd">
            <a:solidFill>
              <a:srgbClr val="583253"/>
            </a:solidFill>
            <a:round/>
          </a:ln>
          <a:effectLst>
            <a:glow rad="139700">
              <a:srgbClr val="E012A0">
                <a:alpha val="40000"/>
              </a:srgbClr>
            </a:glow>
            <a:outerShdw blurRad="50800" dist="50800" dir="5400000" sx="2000" sy="2000" algn="ctr" rotWithShape="0">
              <a:srgbClr val="000000">
                <a:alpha val="43137"/>
              </a:srgbClr>
            </a:outerShdw>
          </a:effectLst>
        </c:spPr>
        <c:marker>
          <c:symbol val="circle"/>
          <c:size val="5"/>
          <c:spPr>
            <a:solidFill>
              <a:srgbClr val="E012A0"/>
            </a:solidFill>
            <a:ln w="9525">
              <a:solidFill>
                <a:schemeClr val="accent1"/>
              </a:solidFill>
            </a:ln>
            <a:effectLst>
              <a:glow rad="139700">
                <a:srgbClr val="E012A0">
                  <a:alpha val="40000"/>
                </a:srgbClr>
              </a:glow>
              <a:outerShdw blurRad="50800" dist="50800" dir="5400000" sx="2000" sy="2000" algn="ctr" rotWithShape="0">
                <a:srgbClr val="000000">
                  <a:alpha val="43137"/>
                </a:srgbClr>
              </a:outerShdw>
            </a:effectLst>
            <a:scene3d>
              <a:camera prst="orthographicFront"/>
              <a:lightRig rig="threePt" dir="t"/>
            </a:scene3d>
            <a:sp3d>
              <a:bevelT/>
              <a:bevelB prst="relaxedInset"/>
            </a:sp3d>
          </c:spPr>
        </c:marker>
      </c:pivotFmt>
      <c:pivotFmt>
        <c:idx val="4"/>
        <c:spPr>
          <a:ln w="38100" cap="rnd">
            <a:solidFill>
              <a:srgbClr val="583253"/>
            </a:solidFill>
            <a:round/>
          </a:ln>
          <a:effectLst>
            <a:glow rad="139700">
              <a:srgbClr val="E012A0">
                <a:alpha val="40000"/>
              </a:srgbClr>
            </a:glow>
          </a:effectLst>
        </c:spPr>
        <c:marker>
          <c:symbol val="circle"/>
          <c:size val="5"/>
          <c:spPr>
            <a:solidFill>
              <a:schemeClr val="accent1"/>
            </a:solidFill>
            <a:ln w="9525">
              <a:solidFill>
                <a:schemeClr val="accent1"/>
              </a:solidFill>
            </a:ln>
            <a:effectLst>
              <a:glow rad="139700">
                <a:srgbClr val="E012A0">
                  <a:alpha val="40000"/>
                </a:srgbClr>
              </a:glow>
            </a:effectLst>
            <a:scene3d>
              <a:camera prst="orthographicFront"/>
              <a:lightRig rig="threePt" dir="t"/>
            </a:scene3d>
            <a:sp3d>
              <a:bevelT prst="angle"/>
              <a:bevelB prst="relaxedInset"/>
            </a:sp3d>
          </c:spPr>
        </c:marker>
        <c:dLbl>
          <c:idx val="0"/>
          <c:spPr>
            <a:solidFill>
              <a:sysClr val="window" lastClr="FFFFFF">
                <a:alpha val="99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l"/>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ln w="38100" cap="rnd">
            <a:solidFill>
              <a:srgbClr val="583253"/>
            </a:solidFill>
            <a:round/>
          </a:ln>
          <a:effectLst>
            <a:glow rad="139700">
              <a:srgbClr val="E012A0">
                <a:alpha val="40000"/>
              </a:srgbClr>
            </a:glow>
            <a:outerShdw blurRad="50800" dist="50800" dir="5400000" sx="2000" sy="2000" algn="ctr" rotWithShape="0">
              <a:srgbClr val="000000">
                <a:alpha val="43137"/>
              </a:srgbClr>
            </a:outerShdw>
          </a:effectLst>
        </c:spPr>
        <c:marker>
          <c:symbol val="circle"/>
          <c:size val="5"/>
          <c:spPr>
            <a:solidFill>
              <a:srgbClr val="E012A0"/>
            </a:solidFill>
            <a:ln w="9525">
              <a:solidFill>
                <a:schemeClr val="accent1"/>
              </a:solidFill>
            </a:ln>
            <a:effectLst>
              <a:glow rad="139700">
                <a:srgbClr val="E012A0">
                  <a:alpha val="40000"/>
                </a:srgbClr>
              </a:glow>
              <a:outerShdw blurRad="50800" dist="50800" dir="5400000" sx="2000" sy="2000" algn="ctr" rotWithShape="0">
                <a:srgbClr val="000000">
                  <a:alpha val="43137"/>
                </a:srgbClr>
              </a:outerShdw>
            </a:effectLst>
            <a:scene3d>
              <a:camera prst="orthographicFront"/>
              <a:lightRig rig="threePt" dir="t"/>
            </a:scene3d>
            <a:sp3d>
              <a:bevelT/>
              <a:bevelB prst="relaxedInset"/>
            </a:sp3d>
          </c:spPr>
        </c:marker>
      </c:pivotFmt>
      <c:pivotFmt>
        <c:idx val="6"/>
        <c:spPr>
          <a:ln w="38100" cap="rnd">
            <a:solidFill>
              <a:srgbClr val="583253"/>
            </a:solidFill>
            <a:round/>
          </a:ln>
          <a:effectLst>
            <a:glow rad="139700">
              <a:schemeClr val="bg1">
                <a:alpha val="40000"/>
              </a:schemeClr>
            </a:glow>
          </a:effectLst>
        </c:spPr>
        <c:marker>
          <c:symbol val="circle"/>
          <c:size val="5"/>
          <c:spPr>
            <a:solidFill>
              <a:schemeClr val="accent1"/>
            </a:solidFill>
            <a:ln w="9525">
              <a:solidFill>
                <a:schemeClr val="accent1"/>
              </a:solidFill>
            </a:ln>
            <a:effectLst>
              <a:glow rad="139700">
                <a:schemeClr val="bg1">
                  <a:alpha val="40000"/>
                </a:schemeClr>
              </a:glow>
            </a:effectLst>
            <a:scene3d>
              <a:camera prst="orthographicFront"/>
              <a:lightRig rig="threePt" dir="t"/>
            </a:scene3d>
            <a:sp3d>
              <a:bevelT prst="angle"/>
              <a:bevelB prst="relaxedInset"/>
            </a:sp3d>
          </c:spPr>
        </c:marker>
        <c:dLbl>
          <c:idx val="0"/>
          <c:spPr>
            <a:solidFill>
              <a:sysClr val="window" lastClr="FFFFFF">
                <a:alpha val="99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l"/>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ln w="38100" cap="rnd">
            <a:solidFill>
              <a:srgbClr val="583253"/>
            </a:solidFill>
            <a:round/>
          </a:ln>
          <a:effectLst>
            <a:glow rad="139700">
              <a:schemeClr val="bg1">
                <a:alpha val="40000"/>
              </a:schemeClr>
            </a:glow>
            <a:outerShdw blurRad="50800" dist="50800" dir="5400000" sx="2000" sy="2000" algn="ctr" rotWithShape="0">
              <a:srgbClr val="000000">
                <a:alpha val="43137"/>
              </a:srgbClr>
            </a:outerShdw>
          </a:effectLst>
        </c:spPr>
        <c:marker>
          <c:symbol val="circle"/>
          <c:size val="5"/>
          <c:spPr>
            <a:solidFill>
              <a:srgbClr val="E012A0"/>
            </a:solidFill>
            <a:ln w="9525">
              <a:solidFill>
                <a:schemeClr val="accent1"/>
              </a:solidFill>
            </a:ln>
            <a:effectLst>
              <a:glow rad="139700">
                <a:schemeClr val="bg1">
                  <a:alpha val="40000"/>
                </a:schemeClr>
              </a:glow>
              <a:outerShdw blurRad="50800" dist="50800" dir="5400000" sx="2000" sy="2000" algn="ctr" rotWithShape="0">
                <a:srgbClr val="000000">
                  <a:alpha val="43137"/>
                </a:srgbClr>
              </a:outerShdw>
            </a:effectLst>
            <a:scene3d>
              <a:camera prst="orthographicFront"/>
              <a:lightRig rig="threePt" dir="t"/>
            </a:scene3d>
            <a:sp3d>
              <a:bevelB prst="relaxedInset"/>
            </a:sp3d>
          </c:spPr>
        </c:marker>
      </c:pivotFmt>
      <c:pivotFmt>
        <c:idx val="8"/>
        <c:spPr>
          <a:ln w="38100" cap="rnd">
            <a:solidFill>
              <a:srgbClr val="583253"/>
            </a:solidFill>
            <a:round/>
          </a:ln>
          <a:effectLst>
            <a:glow rad="139700">
              <a:schemeClr val="bg1">
                <a:alpha val="40000"/>
              </a:schemeClr>
            </a:glow>
          </a:effectLst>
        </c:spPr>
        <c:marker>
          <c:symbol val="circle"/>
          <c:size val="5"/>
          <c:spPr>
            <a:solidFill>
              <a:schemeClr val="accent1"/>
            </a:solidFill>
            <a:ln w="9525">
              <a:solidFill>
                <a:schemeClr val="accent1"/>
              </a:solidFill>
            </a:ln>
            <a:effectLst>
              <a:glow rad="139700">
                <a:schemeClr val="bg1">
                  <a:alpha val="40000"/>
                </a:schemeClr>
              </a:glow>
            </a:effectLst>
            <a:scene3d>
              <a:camera prst="orthographicFront"/>
              <a:lightRig rig="threePt" dir="t"/>
            </a:scene3d>
            <a:sp3d>
              <a:bevelT prst="angle"/>
              <a:bevelB prst="relaxedInset"/>
            </a:sp3d>
          </c:spPr>
        </c:marker>
        <c:dLbl>
          <c:idx val="0"/>
          <c:spPr>
            <a:solidFill>
              <a:sysClr val="window" lastClr="FFFFFF">
                <a:alpha val="99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l"/>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ln w="38100" cap="rnd">
            <a:solidFill>
              <a:srgbClr val="583253"/>
            </a:solidFill>
            <a:round/>
          </a:ln>
          <a:effectLst>
            <a:glow rad="139700">
              <a:schemeClr val="bg1">
                <a:alpha val="40000"/>
              </a:schemeClr>
            </a:glow>
            <a:outerShdw blurRad="50800" dist="50800" dir="5400000" sx="2000" sy="2000" algn="ctr" rotWithShape="0">
              <a:srgbClr val="000000">
                <a:alpha val="43137"/>
              </a:srgbClr>
            </a:outerShdw>
          </a:effectLst>
        </c:spPr>
        <c:marker>
          <c:spPr>
            <a:solidFill>
              <a:srgbClr val="E012A0"/>
            </a:solidFill>
            <a:ln w="9525">
              <a:solidFill>
                <a:schemeClr val="accent1"/>
              </a:solidFill>
            </a:ln>
            <a:effectLst>
              <a:glow rad="139700">
                <a:schemeClr val="bg1">
                  <a:alpha val="40000"/>
                </a:schemeClr>
              </a:glow>
              <a:outerShdw blurRad="50800" dist="50800" dir="5400000" sx="2000" sy="2000" algn="ctr" rotWithShape="0">
                <a:srgbClr val="000000">
                  <a:alpha val="43137"/>
                </a:srgbClr>
              </a:outerShdw>
            </a:effectLst>
            <a:scene3d>
              <a:camera prst="orthographicFront"/>
              <a:lightRig rig="threePt" dir="t"/>
            </a:scene3d>
            <a:sp3d>
              <a:bevelB prst="relaxedInset"/>
            </a:sp3d>
          </c:spPr>
        </c:marker>
      </c:pivotFmt>
      <c:pivotFmt>
        <c:idx val="10"/>
        <c:spPr>
          <a:ln w="38100" cap="rnd">
            <a:solidFill>
              <a:srgbClr val="583253"/>
            </a:solidFill>
            <a:round/>
          </a:ln>
          <a:effectLst>
            <a:glow rad="139700">
              <a:schemeClr val="bg1">
                <a:alpha val="40000"/>
              </a:schemeClr>
            </a:glow>
          </a:effectLst>
        </c:spPr>
        <c:marker>
          <c:symbol val="circle"/>
          <c:size val="5"/>
          <c:spPr>
            <a:solidFill>
              <a:schemeClr val="accent1"/>
            </a:solidFill>
            <a:ln w="9525">
              <a:solidFill>
                <a:schemeClr val="accent1"/>
              </a:solidFill>
            </a:ln>
            <a:effectLst>
              <a:glow rad="139700">
                <a:schemeClr val="bg1">
                  <a:alpha val="40000"/>
                </a:schemeClr>
              </a:glow>
            </a:effectLst>
            <a:scene3d>
              <a:camera prst="orthographicFront"/>
              <a:lightRig rig="threePt" dir="t"/>
            </a:scene3d>
            <a:sp3d>
              <a:bevelT prst="angle"/>
              <a:bevelB prst="relaxedInset"/>
            </a:sp3d>
          </c:spPr>
        </c:marker>
        <c:dLbl>
          <c:idx val="0"/>
          <c:spPr>
            <a:solidFill>
              <a:sysClr val="window" lastClr="FFFFFF">
                <a:alpha val="99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l"/>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ln w="38100" cap="rnd">
            <a:solidFill>
              <a:srgbClr val="583253"/>
            </a:solidFill>
            <a:round/>
          </a:ln>
          <a:effectLst>
            <a:glow rad="139700">
              <a:schemeClr val="bg1">
                <a:alpha val="40000"/>
              </a:schemeClr>
            </a:glow>
            <a:outerShdw blurRad="50800" dist="50800" dir="5400000" sx="2000" sy="2000" algn="ctr" rotWithShape="0">
              <a:srgbClr val="000000">
                <a:alpha val="43137"/>
              </a:srgbClr>
            </a:outerShdw>
          </a:effectLst>
        </c:spPr>
        <c:marker>
          <c:spPr>
            <a:solidFill>
              <a:srgbClr val="E012A0"/>
            </a:solidFill>
            <a:ln w="9525">
              <a:solidFill>
                <a:schemeClr val="accent1"/>
              </a:solidFill>
            </a:ln>
            <a:effectLst>
              <a:glow rad="139700">
                <a:schemeClr val="bg1">
                  <a:alpha val="40000"/>
                </a:schemeClr>
              </a:glow>
              <a:outerShdw blurRad="50800" dist="50800" dir="5400000" sx="2000" sy="2000" algn="ctr" rotWithShape="0">
                <a:srgbClr val="000000">
                  <a:alpha val="43137"/>
                </a:srgbClr>
              </a:outerShdw>
            </a:effectLst>
            <a:scene3d>
              <a:camera prst="orthographicFront"/>
              <a:lightRig rig="threePt" dir="t"/>
            </a:scene3d>
            <a:sp3d>
              <a:bevelB prst="relaxedInset"/>
            </a:sp3d>
          </c:spPr>
        </c:marker>
      </c:pivotFmt>
    </c:pivotFmts>
    <c:plotArea>
      <c:layout>
        <c:manualLayout>
          <c:layoutTarget val="inner"/>
          <c:xMode val="edge"/>
          <c:yMode val="edge"/>
          <c:x val="0.21308356616713231"/>
          <c:y val="0.22624781277340328"/>
          <c:w val="0.60687431208195752"/>
          <c:h val="0.55531313794109072"/>
        </c:manualLayout>
      </c:layout>
      <c:lineChart>
        <c:grouping val="standard"/>
        <c:varyColors val="0"/>
        <c:ser>
          <c:idx val="0"/>
          <c:order val="0"/>
          <c:tx>
            <c:strRef>
              <c:f>Sheet5!$B$3</c:f>
              <c:strCache>
                <c:ptCount val="1"/>
                <c:pt idx="0">
                  <c:v>Total</c:v>
                </c:pt>
              </c:strCache>
            </c:strRef>
          </c:tx>
          <c:spPr>
            <a:ln w="38100" cap="rnd">
              <a:solidFill>
                <a:srgbClr val="583253"/>
              </a:solidFill>
              <a:round/>
            </a:ln>
            <a:effectLst>
              <a:glow rad="139700">
                <a:schemeClr val="bg1">
                  <a:alpha val="40000"/>
                </a:schemeClr>
              </a:glow>
            </a:effectLst>
          </c:spPr>
          <c:marker>
            <c:symbol val="circle"/>
            <c:size val="5"/>
            <c:spPr>
              <a:solidFill>
                <a:schemeClr val="accent1"/>
              </a:solidFill>
              <a:ln w="9525">
                <a:solidFill>
                  <a:schemeClr val="accent1"/>
                </a:solidFill>
              </a:ln>
              <a:effectLst>
                <a:glow rad="139700">
                  <a:schemeClr val="bg1">
                    <a:alpha val="40000"/>
                  </a:schemeClr>
                </a:glow>
              </a:effectLst>
              <a:scene3d>
                <a:camera prst="orthographicFront"/>
                <a:lightRig rig="threePt" dir="t"/>
              </a:scene3d>
              <a:sp3d>
                <a:bevelT prst="angle"/>
                <a:bevelB prst="relaxedInset"/>
              </a:sp3d>
            </c:spPr>
          </c:marker>
          <c:dPt>
            <c:idx val="1"/>
            <c:marker>
              <c:spPr>
                <a:solidFill>
                  <a:srgbClr val="E012A0"/>
                </a:solidFill>
                <a:ln w="9525">
                  <a:solidFill>
                    <a:schemeClr val="accent1"/>
                  </a:solidFill>
                </a:ln>
                <a:effectLst>
                  <a:glow rad="139700">
                    <a:schemeClr val="bg1">
                      <a:alpha val="40000"/>
                    </a:schemeClr>
                  </a:glow>
                  <a:outerShdw blurRad="50800" dist="50800" dir="5400000" sx="2000" sy="2000" algn="ctr" rotWithShape="0">
                    <a:srgbClr val="000000">
                      <a:alpha val="43137"/>
                    </a:srgbClr>
                  </a:outerShdw>
                </a:effectLst>
                <a:scene3d>
                  <a:camera prst="orthographicFront"/>
                  <a:lightRig rig="threePt" dir="t"/>
                </a:scene3d>
                <a:sp3d>
                  <a:bevelB prst="relaxedInset"/>
                </a:sp3d>
              </c:spPr>
            </c:marker>
            <c:bubble3D val="0"/>
            <c:spPr>
              <a:ln w="38100" cap="rnd">
                <a:solidFill>
                  <a:srgbClr val="583253"/>
                </a:solidFill>
                <a:round/>
              </a:ln>
              <a:effectLst>
                <a:glow rad="139700">
                  <a:schemeClr val="bg1">
                    <a:alpha val="40000"/>
                  </a:schemeClr>
                </a:glow>
                <a:outerShdw blurRad="50800" dist="50800" dir="5400000" sx="2000" sy="2000" algn="ctr" rotWithShape="0">
                  <a:srgbClr val="000000">
                    <a:alpha val="43137"/>
                  </a:srgbClr>
                </a:outerShdw>
              </a:effectLst>
            </c:spPr>
            <c:extLst>
              <c:ext xmlns:c16="http://schemas.microsoft.com/office/drawing/2014/chart" uri="{C3380CC4-5D6E-409C-BE32-E72D297353CC}">
                <c16:uniqueId val="{00000001-FC2D-4255-9C8C-9F7483E5E452}"/>
              </c:ext>
            </c:extLst>
          </c:dPt>
          <c:dLbls>
            <c:spPr>
              <a:solidFill>
                <a:sysClr val="window" lastClr="FFFFFF">
                  <a:alpha val="99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l"/>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Sheet5!$A$4:$A$6</c:f>
              <c:strCache>
                <c:ptCount val="2"/>
                <c:pt idx="0">
                  <c:v>Jan</c:v>
                </c:pt>
                <c:pt idx="1">
                  <c:v>Feb</c:v>
                </c:pt>
              </c:strCache>
            </c:strRef>
          </c:cat>
          <c:val>
            <c:numRef>
              <c:f>Sheet5!$B$4:$B$6</c:f>
              <c:numCache>
                <c:formatCode>General</c:formatCode>
                <c:ptCount val="2"/>
                <c:pt idx="0">
                  <c:v>390800</c:v>
                </c:pt>
                <c:pt idx="1">
                  <c:v>83150</c:v>
                </c:pt>
              </c:numCache>
            </c:numRef>
          </c:val>
          <c:smooth val="0"/>
          <c:extLst>
            <c:ext xmlns:c16="http://schemas.microsoft.com/office/drawing/2014/chart" uri="{C3380CC4-5D6E-409C-BE32-E72D297353CC}">
              <c16:uniqueId val="{00000002-FC2D-4255-9C8C-9F7483E5E452}"/>
            </c:ext>
          </c:extLst>
        </c:ser>
        <c:dLbls>
          <c:showLegendKey val="0"/>
          <c:showVal val="0"/>
          <c:showCatName val="0"/>
          <c:showSerName val="0"/>
          <c:showPercent val="0"/>
          <c:showBubbleSize val="0"/>
        </c:dLbls>
        <c:marker val="1"/>
        <c:smooth val="0"/>
        <c:axId val="2003162463"/>
        <c:axId val="2003167743"/>
      </c:lineChart>
      <c:catAx>
        <c:axId val="2003162463"/>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sz="1200">
                    <a:solidFill>
                      <a:schemeClr val="tx1"/>
                    </a:solidFill>
                  </a:rPr>
                  <a:t>Month</a:t>
                </a:r>
              </a:p>
            </c:rich>
          </c:tx>
          <c:overlay val="0"/>
          <c:spPr>
            <a:noFill/>
            <a:ln>
              <a:noFill/>
            </a:ln>
            <a:effectLst/>
          </c:sp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003167743"/>
        <c:crosses val="autoZero"/>
        <c:auto val="1"/>
        <c:lblAlgn val="ctr"/>
        <c:lblOffset val="100"/>
        <c:noMultiLvlLbl val="0"/>
      </c:catAx>
      <c:valAx>
        <c:axId val="2003167743"/>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sz="1200">
                    <a:solidFill>
                      <a:schemeClr val="tx1"/>
                    </a:solidFill>
                  </a:rPr>
                  <a:t>Sales</a:t>
                </a:r>
              </a:p>
            </c:rich>
          </c:tx>
          <c:layout>
            <c:manualLayout>
              <c:xMode val="edge"/>
              <c:yMode val="edge"/>
              <c:x val="4.1939679081268146E-2"/>
              <c:y val="0.4121103091280256"/>
            </c:manualLayout>
          </c:layout>
          <c:overlay val="0"/>
          <c:spPr>
            <a:noFill/>
            <a:ln>
              <a:noFill/>
            </a:ln>
            <a:effectLst/>
          </c:sp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003162463"/>
        <c:crosses val="autoZero"/>
        <c:crossBetween val="between"/>
      </c:valAx>
    </c:plotArea>
    <c:legend>
      <c:legendPos val="r"/>
      <c:layout>
        <c:manualLayout>
          <c:xMode val="edge"/>
          <c:yMode val="edge"/>
          <c:x val="0.82145466964835556"/>
          <c:y val="0.37868000874890639"/>
          <c:w val="0.15007745625586119"/>
          <c:h val="0.2199085010207057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[Sales_Data_Dashboard(1).xlsx]Sheet3!Sales by Region</c:name>
    <c:fmtId val="43"/>
  </c:pivotSource>
  <c:chart>
    <c:title>
      <c:tx>
        <c:rich>
          <a:bodyPr rot="0" spcFirstLastPara="1" vertOverflow="ellipsis" vert="horz" wrap="square" anchor="ctr" anchorCtr="1"/>
          <a:lstStyle/>
          <a:p>
            <a:pPr>
              <a:defRPr sz="1600" b="0" i="0" u="none" strike="noStrike" kern="1200" spc="0" baseline="0">
                <a:solidFill>
                  <a:schemeClr val="tx1">
                    <a:lumMod val="95000"/>
                    <a:lumOff val="5000"/>
                  </a:schemeClr>
                </a:solidFill>
                <a:latin typeface="+mn-lt"/>
                <a:ea typeface="+mn-ea"/>
                <a:cs typeface="+mn-cs"/>
              </a:defRPr>
            </a:pPr>
            <a:r>
              <a:rPr lang="en-US" sz="1600" b="1" i="0" u="none" strike="noStrike" baseline="0">
                <a:solidFill>
                  <a:schemeClr val="tx1">
                    <a:lumMod val="95000"/>
                    <a:lumOff val="5000"/>
                  </a:schemeClr>
                </a:solidFill>
              </a:rPr>
              <a:t>Sales by Region</a:t>
            </a:r>
            <a:endParaRPr lang="en-US" sz="1600" b="1">
              <a:solidFill>
                <a:schemeClr val="tx1">
                  <a:lumMod val="95000"/>
                  <a:lumOff val="5000"/>
                </a:schemeClr>
              </a:solidFill>
            </a:endParaRPr>
          </a:p>
        </c:rich>
      </c:tx>
      <c:layout>
        <c:manualLayout>
          <c:xMode val="edge"/>
          <c:yMode val="edge"/>
          <c:x val="0.38958792487290028"/>
          <c:y val="8.831629430888106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rgbClr val="FF0000"/>
          </a:solidFill>
          <a:ln cap="rnd" cmpd="sng">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prstDash val="sysDash"/>
          </a:ln>
          <a:effectLst>
            <a:glow rad="228600">
              <a:srgbClr val="C00000">
                <a:alpha val="40000"/>
              </a:srgbClr>
            </a:glow>
          </a:effectLst>
          <a:scene3d>
            <a:camera prst="orthographicFront"/>
            <a:lightRig rig="sunse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alpha val="91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cap="rnd" cmpd="sng">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prstDash val="sysDash"/>
          </a:ln>
          <a:effectLst>
            <a:glow rad="228600">
              <a:srgbClr val="C00000">
                <a:alpha val="40000"/>
              </a:srgbClr>
            </a:glow>
          </a:effectLst>
          <a:scene3d>
            <a:camera prst="orthographicFront"/>
            <a:lightRig rig="sunse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alpha val="91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cap="rnd" cmpd="sng">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prstDash val="sysDash"/>
          </a:ln>
          <a:effectLst>
            <a:glow rad="228600">
              <a:schemeClr val="bg1">
                <a:alpha val="40000"/>
              </a:schemeClr>
            </a:glow>
          </a:effectLst>
          <a:scene3d>
            <a:camera prst="orthographicFront"/>
            <a:lightRig rig="sunse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alpha val="91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cap="rnd" cmpd="sng">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prstDash val="sysDash"/>
          </a:ln>
          <a:effectLst>
            <a:glow rad="228600">
              <a:schemeClr val="bg1">
                <a:alpha val="40000"/>
              </a:schemeClr>
            </a:glow>
          </a:effectLst>
          <a:scene3d>
            <a:camera prst="orthographicFront"/>
            <a:lightRig rig="sunse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alpha val="91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cap="rnd" cmpd="sng">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prstDash val="sysDash"/>
          </a:ln>
          <a:effectLst>
            <a:glow rad="228600">
              <a:schemeClr val="bg1">
                <a:alpha val="40000"/>
              </a:schemeClr>
            </a:glow>
          </a:effectLst>
          <a:scene3d>
            <a:camera prst="orthographicFront"/>
            <a:lightRig rig="sunse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alpha val="91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1852565191941"/>
          <c:y val="0.17855058117735279"/>
          <c:w val="0.68963009120262841"/>
          <c:h val="0.6429798275215598"/>
        </c:manualLayout>
      </c:layout>
      <c:barChart>
        <c:barDir val="bar"/>
        <c:grouping val="clustered"/>
        <c:varyColors val="0"/>
        <c:ser>
          <c:idx val="0"/>
          <c:order val="0"/>
          <c:tx>
            <c:strRef>
              <c:f>Sheet3!$B$3</c:f>
              <c:strCache>
                <c:ptCount val="1"/>
                <c:pt idx="0">
                  <c:v>Total</c:v>
                </c:pt>
              </c:strCache>
            </c:strRef>
          </c:tx>
          <c:spPr>
            <a:solidFill>
              <a:srgbClr val="FF0000"/>
            </a:solidFill>
            <a:ln cap="rnd" cmpd="sng">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prstDash val="sysDash"/>
            </a:ln>
            <a:effectLst>
              <a:glow rad="228600">
                <a:schemeClr val="bg1">
                  <a:alpha val="40000"/>
                </a:schemeClr>
              </a:glow>
            </a:effectLst>
            <a:scene3d>
              <a:camera prst="orthographicFront"/>
              <a:lightRig rig="sunset" dir="t"/>
            </a:scene3d>
            <a:sp3d>
              <a:bevelT prst="angle"/>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alpha val="91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East</c:v>
                </c:pt>
                <c:pt idx="1">
                  <c:v>North</c:v>
                </c:pt>
                <c:pt idx="2">
                  <c:v>South</c:v>
                </c:pt>
                <c:pt idx="3">
                  <c:v>West</c:v>
                </c:pt>
              </c:strCache>
            </c:strRef>
          </c:cat>
          <c:val>
            <c:numRef>
              <c:f>Sheet3!$B$4:$B$8</c:f>
              <c:numCache>
                <c:formatCode>General</c:formatCode>
                <c:ptCount val="4"/>
                <c:pt idx="0">
                  <c:v>111300</c:v>
                </c:pt>
                <c:pt idx="1">
                  <c:v>166800</c:v>
                </c:pt>
                <c:pt idx="2">
                  <c:v>84700</c:v>
                </c:pt>
                <c:pt idx="3">
                  <c:v>111150</c:v>
                </c:pt>
              </c:numCache>
            </c:numRef>
          </c:val>
          <c:extLst>
            <c:ext xmlns:c16="http://schemas.microsoft.com/office/drawing/2014/chart" uri="{C3380CC4-5D6E-409C-BE32-E72D297353CC}">
              <c16:uniqueId val="{00000000-0609-4D93-8737-3CD2D5C906C4}"/>
            </c:ext>
          </c:extLst>
        </c:ser>
        <c:dLbls>
          <c:showLegendKey val="0"/>
          <c:showVal val="0"/>
          <c:showCatName val="0"/>
          <c:showSerName val="0"/>
          <c:showPercent val="0"/>
          <c:showBubbleSize val="0"/>
        </c:dLbls>
        <c:gapWidth val="182"/>
        <c:axId val="2003162943"/>
        <c:axId val="2003154783"/>
      </c:barChart>
      <c:catAx>
        <c:axId val="2003162943"/>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 </a:t>
                </a:r>
                <a:r>
                  <a:rPr lang="en-US" sz="1200" b="1">
                    <a:solidFill>
                      <a:schemeClr val="tx1"/>
                    </a:solidFill>
                  </a:rPr>
                  <a:t>Region</a:t>
                </a:r>
              </a:p>
            </c:rich>
          </c:tx>
          <c:layout>
            <c:manualLayout>
              <c:xMode val="edge"/>
              <c:yMode val="edge"/>
              <c:x val="0.12379092553669835"/>
              <c:y val="0.42662490929640984"/>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2003154783"/>
        <c:crosses val="autoZero"/>
        <c:auto val="1"/>
        <c:lblAlgn val="ctr"/>
        <c:lblOffset val="100"/>
        <c:noMultiLvlLbl val="0"/>
      </c:catAx>
      <c:valAx>
        <c:axId val="2003154783"/>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1">
                    <a:solidFill>
                      <a:schemeClr val="tx1">
                        <a:lumMod val="95000"/>
                        <a:lumOff val="5000"/>
                      </a:schemeClr>
                    </a:solidFill>
                  </a:rPr>
                  <a:t>Sales</a:t>
                </a:r>
              </a:p>
            </c:rich>
          </c:tx>
          <c:layout>
            <c:manualLayout>
              <c:xMode val="edge"/>
              <c:yMode val="edge"/>
              <c:x val="0.49124605827149315"/>
              <c:y val="0.8946666666666667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200316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[Sales_Data_Dashboard(1).xlsx]Sheet4!Profit by Category</c:name>
    <c:fmtId val="2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t>Profit by Category</a:t>
            </a:r>
          </a:p>
        </c:rich>
      </c:tx>
      <c:layout>
        <c:manualLayout>
          <c:xMode val="edge"/>
          <c:yMode val="edge"/>
          <c:x val="0.37159660910485498"/>
          <c:y val="9.977875335354169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00627"/>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glow rad="63500">
              <a:schemeClr val="accent2">
                <a:satMod val="175000"/>
                <a:alpha val="40000"/>
              </a:schemeClr>
            </a:glow>
            <a:outerShdw blurRad="50800" dist="38100" dir="2700000" algn="tl" rotWithShape="0">
              <a:prstClr val="black">
                <a:alpha val="40000"/>
              </a:prstClr>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accent2">
                <a:satMod val="175000"/>
                <a:alpha val="40000"/>
              </a:schemeClr>
            </a:glow>
            <a:outerShdw blurRad="50800" dist="38100" dir="5400000" algn="t" rotWithShape="0">
              <a:srgbClr val="E012A0">
                <a:alpha val="40000"/>
              </a:srgbClr>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012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accent2">
                <a:satMod val="175000"/>
                <a:alpha val="40000"/>
              </a:schemeClr>
            </a:glow>
            <a:outerShdw blurRad="50800" dist="38100" dir="5400000" algn="t" rotWithShape="0">
              <a:prstClr val="black">
                <a:alpha val="40000"/>
              </a:prstClr>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00627"/>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glow rad="63500">
              <a:schemeClr val="accent2">
                <a:satMod val="175000"/>
                <a:alpha val="40000"/>
              </a:schemeClr>
            </a:glow>
            <a:outerShdw blurRad="50800" dist="38100" dir="2700000" algn="tl" rotWithShape="0">
              <a:prstClr val="black">
                <a:alpha val="40000"/>
              </a:prstClr>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accent2">
                <a:satMod val="175000"/>
                <a:alpha val="40000"/>
              </a:schemeClr>
            </a:glow>
            <a:outerShdw blurRad="50800" dist="38100" dir="5400000" algn="t" rotWithShape="0">
              <a:srgbClr val="E012A0">
                <a:alpha val="40000"/>
              </a:srgbClr>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012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accent2">
                <a:satMod val="175000"/>
                <a:alpha val="40000"/>
              </a:schemeClr>
            </a:glow>
            <a:outerShdw blurRad="50800" dist="38100" dir="5400000" algn="t" rotWithShape="0">
              <a:prstClr val="black">
                <a:alpha val="40000"/>
              </a:prstClr>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outerShdw blurRad="50800" dist="50800" dir="5400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00627"/>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030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012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a:outerShdw blurRad="50800" dist="50800" dir="5400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00627"/>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7030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E012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a:outerShdw blurRad="50800" dist="50800" dir="5400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00627"/>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7030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E012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13429571303587"/>
          <c:y val="0.32532377276756308"/>
          <c:w val="0.38229636920384952"/>
          <c:h val="0.60283264526231195"/>
        </c:manualLayout>
      </c:layout>
      <c:pieChart>
        <c:varyColors val="1"/>
        <c:ser>
          <c:idx val="0"/>
          <c:order val="0"/>
          <c:tx>
            <c:strRef>
              <c:f>Sheet4!$B$3</c:f>
              <c:strCache>
                <c:ptCount val="1"/>
                <c:pt idx="0">
                  <c:v>Total</c:v>
                </c:pt>
              </c:strCache>
            </c:strRef>
          </c:tx>
          <c:spPr>
            <a:effectLst>
              <a:outerShdw blurRad="50800" dist="50800" dir="5400000" algn="ctr" rotWithShape="0">
                <a:schemeClr val="bg1"/>
              </a:outerShdw>
            </a:effectLst>
          </c:spPr>
          <c:dPt>
            <c:idx val="0"/>
            <c:bubble3D val="0"/>
            <c:spPr>
              <a:solidFill>
                <a:srgbClr val="F00627"/>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extLst>
              <c:ext xmlns:c16="http://schemas.microsoft.com/office/drawing/2014/chart" uri="{C3380CC4-5D6E-409C-BE32-E72D297353CC}">
                <c16:uniqueId val="{00000001-2694-45A8-97C0-93AB6EA2B36E}"/>
              </c:ext>
            </c:extLst>
          </c:dPt>
          <c:dPt>
            <c:idx val="1"/>
            <c:bubble3D val="0"/>
            <c:spPr>
              <a:solidFill>
                <a:srgbClr val="7030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extLst>
              <c:ext xmlns:c16="http://schemas.microsoft.com/office/drawing/2014/chart" uri="{C3380CC4-5D6E-409C-BE32-E72D297353CC}">
                <c16:uniqueId val="{00000003-2694-45A8-97C0-93AB6EA2B36E}"/>
              </c:ext>
            </c:extLst>
          </c:dPt>
          <c:dPt>
            <c:idx val="2"/>
            <c:bubble3D val="0"/>
            <c:spPr>
              <a:solidFill>
                <a:srgbClr val="E012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extLst>
              <c:ext xmlns:c16="http://schemas.microsoft.com/office/drawing/2014/chart" uri="{C3380CC4-5D6E-409C-BE32-E72D297353CC}">
                <c16:uniqueId val="{00000005-2694-45A8-97C0-93AB6EA2B36E}"/>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94-45A8-97C0-93AB6EA2B36E}"/>
                </c:ext>
              </c:extLst>
            </c:dLbl>
            <c:dLbl>
              <c:idx val="1"/>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94-45A8-97C0-93AB6EA2B36E}"/>
                </c:ext>
              </c:extLst>
            </c:dLbl>
            <c:dLbl>
              <c:idx val="2"/>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94-45A8-97C0-93AB6EA2B36E}"/>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Sheet4!$A$4:$A$7</c:f>
              <c:strCache>
                <c:ptCount val="3"/>
                <c:pt idx="0">
                  <c:v>Electronics</c:v>
                </c:pt>
                <c:pt idx="1">
                  <c:v>Furniture</c:v>
                </c:pt>
                <c:pt idx="2">
                  <c:v>Office Supplies</c:v>
                </c:pt>
              </c:strCache>
            </c:strRef>
          </c:cat>
          <c:val>
            <c:numRef>
              <c:f>Sheet4!$B$4:$B$7</c:f>
              <c:numCache>
                <c:formatCode>General</c:formatCode>
                <c:ptCount val="3"/>
                <c:pt idx="0">
                  <c:v>38400</c:v>
                </c:pt>
                <c:pt idx="1">
                  <c:v>37600</c:v>
                </c:pt>
                <c:pt idx="2">
                  <c:v>3230</c:v>
                </c:pt>
              </c:numCache>
            </c:numRef>
          </c:val>
          <c:extLst>
            <c:ext xmlns:c16="http://schemas.microsoft.com/office/drawing/2014/chart" uri="{C3380CC4-5D6E-409C-BE32-E72D297353CC}">
              <c16:uniqueId val="{00000006-2694-45A8-97C0-93AB6EA2B36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6112029746281729"/>
          <c:y val="0.28869130941965587"/>
          <c:w val="0.20276859142607173"/>
          <c:h val="0.49145778652668415"/>
        </c:manualLayout>
      </c:layout>
      <c:overlay val="0"/>
      <c:spPr>
        <a:noFill/>
        <a:ln>
          <a:noFill/>
        </a:ln>
        <a:effectLst>
          <a:glow rad="63500">
            <a:schemeClr val="accent1">
              <a:satMod val="175000"/>
              <a:alpha val="40000"/>
            </a:schemeClr>
          </a:glow>
          <a:outerShdw blurRad="50800" dist="50800" algn="ctr" rotWithShape="0">
            <a:srgbClr val="000000">
              <a:alpha val="43137"/>
            </a:srgbClr>
          </a:outerShdw>
        </a:effectLst>
      </c:spPr>
      <c:txPr>
        <a:bodyPr rot="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[Sales_Data_Dashboard(1).xlsx]Sheet6!Top Products</c:name>
    <c:fmtId val="3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i="0" u="none" strike="noStrike" baseline="0"/>
              <a:t>Top Products</a:t>
            </a:r>
            <a:endParaRPr lang="en-US"/>
          </a:p>
        </c:rich>
      </c:tx>
      <c:layout>
        <c:manualLayout>
          <c:xMode val="edge"/>
          <c:yMode val="edge"/>
          <c:x val="0.41421759627096588"/>
          <c:y val="8.571178509610918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CC0066"/>
          </a:solidFill>
          <a:ln>
            <a:noFill/>
          </a:ln>
          <a:effectLst>
            <a:glow rad="127000">
              <a:srgbClr val="E012A0">
                <a:alpha val="95000"/>
              </a:srgbClr>
            </a:glow>
          </a:effectLst>
          <a:scene3d>
            <a:camera prst="orthographicFront"/>
            <a:lightRig rig="flat" dir="t"/>
          </a:scene3d>
          <a:sp3d prstMaterial="dkEdge">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0066"/>
          </a:solidFill>
          <a:ln>
            <a:noFill/>
          </a:ln>
          <a:effectLst>
            <a:glow rad="127000">
              <a:srgbClr val="E012A0">
                <a:alpha val="95000"/>
              </a:srgbClr>
            </a:glow>
          </a:effectLst>
          <a:scene3d>
            <a:camera prst="orthographicFront"/>
            <a:lightRig rig="flat" dir="t"/>
          </a:scene3d>
          <a:sp3d prstMaterial="dkEdge">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C0066"/>
          </a:solidFill>
          <a:ln>
            <a:noFill/>
          </a:ln>
          <a:effectLst>
            <a:glow rad="127000">
              <a:schemeClr val="bg1">
                <a:alpha val="95000"/>
              </a:schemeClr>
            </a:glow>
          </a:effectLst>
          <a:scene3d>
            <a:camera prst="orthographicFront"/>
            <a:lightRig rig="flat" dir="t"/>
          </a:scene3d>
          <a:sp3d prstMaterial="dkEdge">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C0066"/>
          </a:solidFill>
          <a:ln>
            <a:noFill/>
          </a:ln>
          <a:effectLst>
            <a:glow rad="127000">
              <a:schemeClr val="bg1">
                <a:alpha val="95000"/>
              </a:schemeClr>
            </a:glow>
          </a:effectLst>
          <a:scene3d>
            <a:camera prst="orthographicFront"/>
            <a:lightRig rig="flat" dir="t"/>
          </a:scene3d>
          <a:sp3d prstMaterial="dkEdge">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C0066"/>
          </a:solidFill>
          <a:ln>
            <a:noFill/>
          </a:ln>
          <a:effectLst>
            <a:glow rad="127000">
              <a:schemeClr val="bg1">
                <a:alpha val="95000"/>
              </a:schemeClr>
            </a:glow>
          </a:effectLst>
          <a:scene3d>
            <a:camera prst="orthographicFront"/>
            <a:lightRig rig="flat" dir="t"/>
          </a:scene3d>
          <a:sp3d prstMaterial="dkEdge">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6035346882755"/>
          <c:y val="0.26328484981044037"/>
          <c:w val="0.76725925058624178"/>
          <c:h val="0.4350667104111986"/>
        </c:manualLayout>
      </c:layout>
      <c:barChart>
        <c:barDir val="col"/>
        <c:grouping val="clustered"/>
        <c:varyColors val="0"/>
        <c:ser>
          <c:idx val="0"/>
          <c:order val="0"/>
          <c:tx>
            <c:strRef>
              <c:f>Sheet6!$B$3</c:f>
              <c:strCache>
                <c:ptCount val="1"/>
                <c:pt idx="0">
                  <c:v>Total</c:v>
                </c:pt>
              </c:strCache>
            </c:strRef>
          </c:tx>
          <c:spPr>
            <a:solidFill>
              <a:srgbClr val="CC0066"/>
            </a:solidFill>
            <a:ln>
              <a:noFill/>
            </a:ln>
            <a:effectLst>
              <a:glow rad="127000">
                <a:schemeClr val="bg1">
                  <a:alpha val="95000"/>
                </a:schemeClr>
              </a:glow>
            </a:effectLst>
            <a:scene3d>
              <a:camera prst="orthographicFront"/>
              <a:lightRig rig="flat" dir="t"/>
            </a:scene3d>
            <a:sp3d prstMaterial="dkEdge">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Sheet6!$A$4:$A$14</c:f>
              <c:strCache>
                <c:ptCount val="10"/>
                <c:pt idx="0">
                  <c:v>Bed</c:v>
                </c:pt>
                <c:pt idx="1">
                  <c:v>Camera</c:v>
                </c:pt>
                <c:pt idx="2">
                  <c:v>Chair</c:v>
                </c:pt>
                <c:pt idx="3">
                  <c:v>Cupboard</c:v>
                </c:pt>
                <c:pt idx="4">
                  <c:v>Laptop</c:v>
                </c:pt>
                <c:pt idx="5">
                  <c:v>Mobile</c:v>
                </c:pt>
                <c:pt idx="6">
                  <c:v>Monitor</c:v>
                </c:pt>
                <c:pt idx="7">
                  <c:v>Sofa</c:v>
                </c:pt>
                <c:pt idx="8">
                  <c:v>Table</c:v>
                </c:pt>
                <c:pt idx="9">
                  <c:v>Tablet</c:v>
                </c:pt>
              </c:strCache>
            </c:strRef>
          </c:cat>
          <c:val>
            <c:numRef>
              <c:f>Sheet6!$B$4:$B$14</c:f>
              <c:numCache>
                <c:formatCode>General</c:formatCode>
                <c:ptCount val="10"/>
                <c:pt idx="0">
                  <c:v>62000</c:v>
                </c:pt>
                <c:pt idx="1">
                  <c:v>51000</c:v>
                </c:pt>
                <c:pt idx="2">
                  <c:v>16500</c:v>
                </c:pt>
                <c:pt idx="3">
                  <c:v>41000</c:v>
                </c:pt>
                <c:pt idx="4">
                  <c:v>92000</c:v>
                </c:pt>
                <c:pt idx="5">
                  <c:v>42000</c:v>
                </c:pt>
                <c:pt idx="6">
                  <c:v>25000</c:v>
                </c:pt>
                <c:pt idx="7">
                  <c:v>52000</c:v>
                </c:pt>
                <c:pt idx="8">
                  <c:v>22300</c:v>
                </c:pt>
                <c:pt idx="9">
                  <c:v>31000</c:v>
                </c:pt>
              </c:numCache>
            </c:numRef>
          </c:val>
          <c:extLst>
            <c:ext xmlns:c16="http://schemas.microsoft.com/office/drawing/2014/chart" uri="{C3380CC4-5D6E-409C-BE32-E72D297353CC}">
              <c16:uniqueId val="{00000000-7F5B-4C3A-BFF7-566C1F6DD048}"/>
            </c:ext>
          </c:extLst>
        </c:ser>
        <c:dLbls>
          <c:showLegendKey val="0"/>
          <c:showVal val="0"/>
          <c:showCatName val="0"/>
          <c:showSerName val="0"/>
          <c:showPercent val="0"/>
          <c:showBubbleSize val="0"/>
        </c:dLbls>
        <c:gapWidth val="219"/>
        <c:overlap val="-27"/>
        <c:axId val="2013072719"/>
        <c:axId val="2013073199"/>
      </c:barChart>
      <c:catAx>
        <c:axId val="2013072719"/>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Product</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13073199"/>
        <c:crosses val="autoZero"/>
        <c:auto val="1"/>
        <c:lblAlgn val="ctr"/>
        <c:lblOffset val="100"/>
        <c:noMultiLvlLbl val="0"/>
      </c:catAx>
      <c:valAx>
        <c:axId val="2013073199"/>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a:solidFill>
                      <a:sysClr val="windowText" lastClr="000000"/>
                    </a:solidFill>
                  </a:rPr>
                  <a:t>Sales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13072719"/>
        <c:crosses val="autoZero"/>
        <c:crossBetween val="between"/>
      </c:valAx>
      <c:spPr>
        <a:noFill/>
        <a:ln>
          <a:noFill/>
        </a:ln>
        <a:effectLst/>
      </c:spPr>
    </c:plotArea>
    <c:legend>
      <c:legendPos val="r"/>
      <c:layout>
        <c:manualLayout>
          <c:xMode val="edge"/>
          <c:yMode val="edge"/>
          <c:x val="0.85711716261120563"/>
          <c:y val="0.15755080974590407"/>
          <c:w val="0.11915464990866641"/>
          <c:h val="0.116969416592710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[Sales_Data_Dashboard(1).xlsx]Sheet5!Monthly Sales Trend</c:name>
    <c:fmtId val="2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t>Monthly Sales Trend</a:t>
            </a:r>
            <a:endParaRPr lang="en-US" b="1">
              <a:solidFill>
                <a:schemeClr val="tx1"/>
              </a:solidFill>
            </a:endParaRPr>
          </a:p>
        </c:rich>
      </c:tx>
      <c:overlay val="0"/>
      <c:spPr>
        <a:noFill/>
        <a:ln>
          <a:noFill/>
        </a:ln>
        <a:effectLst/>
      </c:spPr>
    </c:title>
    <c:autoTitleDeleted val="0"/>
    <c:pivotFmts>
      <c:pivotFmt>
        <c:idx val="0"/>
        <c:spPr>
          <a:solidFill>
            <a:schemeClr val="accent1"/>
          </a:solidFill>
          <a:ln w="38100" cap="rnd">
            <a:solidFill>
              <a:srgbClr val="583253"/>
            </a:solidFill>
            <a:round/>
          </a:ln>
          <a:effectLst>
            <a:glow rad="139700">
              <a:srgbClr val="E012A0">
                <a:alpha val="40000"/>
              </a:srgbClr>
            </a:glow>
          </a:effectLst>
        </c:spPr>
        <c:marker>
          <c:symbol val="circle"/>
          <c:size val="5"/>
          <c:spPr>
            <a:solidFill>
              <a:schemeClr val="accent1"/>
            </a:solidFill>
            <a:ln w="9525">
              <a:solidFill>
                <a:schemeClr val="accent1"/>
              </a:solidFill>
            </a:ln>
            <a:effectLst>
              <a:glow rad="139700">
                <a:srgbClr val="E012A0">
                  <a:alpha val="40000"/>
                </a:srgbClr>
              </a:glow>
            </a:effectLst>
            <a:scene3d>
              <a:camera prst="orthographicFront"/>
              <a:lightRig rig="threePt" dir="t"/>
            </a:scene3d>
            <a:sp3d>
              <a:bevelT prst="angle"/>
              <a:bevelB prst="relaxedInset"/>
            </a:sp3d>
          </c:spPr>
        </c:marker>
        <c:dLbl>
          <c:idx val="0"/>
          <c:spPr>
            <a:solidFill>
              <a:sysClr val="window" lastClr="FFFFFF">
                <a:alpha val="99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l"/>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38100" cap="rnd">
            <a:solidFill>
              <a:srgbClr val="583253"/>
            </a:solidFill>
            <a:round/>
          </a:ln>
          <a:effectLst>
            <a:glow rad="139700">
              <a:srgbClr val="E012A0">
                <a:alpha val="40000"/>
              </a:srgbClr>
            </a:glow>
            <a:outerShdw blurRad="50800" dist="50800" dir="5400000" sx="2000" sy="2000" algn="ctr" rotWithShape="0">
              <a:srgbClr val="000000">
                <a:alpha val="43137"/>
              </a:srgbClr>
            </a:outerShdw>
          </a:effectLst>
        </c:spPr>
        <c:marker>
          <c:symbol val="circle"/>
          <c:size val="5"/>
          <c:spPr>
            <a:solidFill>
              <a:srgbClr val="E012A0"/>
            </a:solidFill>
            <a:ln w="9525">
              <a:solidFill>
                <a:schemeClr val="accent1"/>
              </a:solidFill>
            </a:ln>
            <a:effectLst>
              <a:glow rad="139700">
                <a:srgbClr val="E012A0">
                  <a:alpha val="40000"/>
                </a:srgbClr>
              </a:glow>
              <a:outerShdw blurRad="50800" dist="50800" dir="5400000" sx="2000" sy="2000" algn="ctr" rotWithShape="0">
                <a:srgbClr val="000000">
                  <a:alpha val="43137"/>
                </a:srgbClr>
              </a:outerShdw>
            </a:effectLst>
            <a:scene3d>
              <a:camera prst="orthographicFront"/>
              <a:lightRig rig="threePt" dir="t"/>
            </a:scene3d>
            <a:sp3d>
              <a:bevelT/>
              <a:bevelB prst="relaxedInset"/>
            </a:sp3d>
          </c:spPr>
        </c:marker>
      </c:pivotFmt>
      <c:pivotFmt>
        <c:idx val="2"/>
        <c:spPr>
          <a:solidFill>
            <a:schemeClr val="accent1"/>
          </a:solidFill>
          <a:ln w="38100" cap="rnd">
            <a:solidFill>
              <a:srgbClr val="583253"/>
            </a:solidFill>
            <a:round/>
          </a:ln>
          <a:effectLst>
            <a:glow rad="139700">
              <a:srgbClr val="E012A0">
                <a:alpha val="40000"/>
              </a:srgbClr>
            </a:glow>
          </a:effectLst>
        </c:spPr>
        <c:marker>
          <c:symbol val="circle"/>
          <c:size val="5"/>
          <c:spPr>
            <a:solidFill>
              <a:schemeClr val="accent1"/>
            </a:solidFill>
            <a:ln w="9525">
              <a:solidFill>
                <a:schemeClr val="accent1"/>
              </a:solidFill>
            </a:ln>
            <a:effectLst>
              <a:glow rad="139700">
                <a:srgbClr val="E012A0">
                  <a:alpha val="40000"/>
                </a:srgbClr>
              </a:glow>
            </a:effectLst>
            <a:scene3d>
              <a:camera prst="orthographicFront"/>
              <a:lightRig rig="threePt" dir="t"/>
            </a:scene3d>
            <a:sp3d>
              <a:bevelT prst="angle"/>
              <a:bevelB prst="relaxedInset"/>
            </a:sp3d>
          </c:spPr>
        </c:marker>
        <c:dLbl>
          <c:idx val="0"/>
          <c:spPr>
            <a:solidFill>
              <a:sysClr val="window" lastClr="FFFFFF">
                <a:alpha val="99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l"/>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1"/>
          </a:solidFill>
          <a:ln w="38100" cap="rnd">
            <a:solidFill>
              <a:srgbClr val="583253"/>
            </a:solidFill>
            <a:round/>
          </a:ln>
          <a:effectLst>
            <a:glow rad="139700">
              <a:srgbClr val="E012A0">
                <a:alpha val="40000"/>
              </a:srgbClr>
            </a:glow>
            <a:outerShdw blurRad="50800" dist="50800" dir="5400000" sx="2000" sy="2000" algn="ctr" rotWithShape="0">
              <a:srgbClr val="000000">
                <a:alpha val="43137"/>
              </a:srgbClr>
            </a:outerShdw>
          </a:effectLst>
        </c:spPr>
        <c:marker>
          <c:symbol val="circle"/>
          <c:size val="5"/>
          <c:spPr>
            <a:solidFill>
              <a:srgbClr val="E012A0"/>
            </a:solidFill>
            <a:ln w="9525">
              <a:solidFill>
                <a:schemeClr val="accent1"/>
              </a:solidFill>
            </a:ln>
            <a:effectLst>
              <a:glow rad="139700">
                <a:srgbClr val="E012A0">
                  <a:alpha val="40000"/>
                </a:srgbClr>
              </a:glow>
              <a:outerShdw blurRad="50800" dist="50800" dir="5400000" sx="2000" sy="2000" algn="ctr" rotWithShape="0">
                <a:srgbClr val="000000">
                  <a:alpha val="43137"/>
                </a:srgbClr>
              </a:outerShdw>
            </a:effectLst>
            <a:scene3d>
              <a:camera prst="orthographicFront"/>
              <a:lightRig rig="threePt" dir="t"/>
            </a:scene3d>
            <a:sp3d>
              <a:bevelT/>
              <a:bevelB prst="relaxedInset"/>
            </a:sp3d>
          </c:spPr>
        </c:marker>
      </c:pivotFmt>
      <c:pivotFmt>
        <c:idx val="4"/>
        <c:spPr>
          <a:ln w="38100" cap="rnd">
            <a:solidFill>
              <a:srgbClr val="583253"/>
            </a:solidFill>
            <a:round/>
          </a:ln>
          <a:effectLst>
            <a:glow rad="139700">
              <a:srgbClr val="E012A0">
                <a:alpha val="40000"/>
              </a:srgbClr>
            </a:glow>
          </a:effectLst>
        </c:spPr>
        <c:marker>
          <c:symbol val="circle"/>
          <c:size val="5"/>
          <c:spPr>
            <a:solidFill>
              <a:schemeClr val="accent1"/>
            </a:solidFill>
            <a:ln w="9525">
              <a:solidFill>
                <a:schemeClr val="accent1"/>
              </a:solidFill>
            </a:ln>
            <a:effectLst>
              <a:glow rad="139700">
                <a:srgbClr val="E012A0">
                  <a:alpha val="40000"/>
                </a:srgbClr>
              </a:glow>
            </a:effectLst>
            <a:scene3d>
              <a:camera prst="orthographicFront"/>
              <a:lightRig rig="threePt" dir="t"/>
            </a:scene3d>
            <a:sp3d>
              <a:bevelT prst="angle"/>
              <a:bevelB prst="relaxedInset"/>
            </a:sp3d>
          </c:spPr>
        </c:marker>
        <c:dLbl>
          <c:idx val="0"/>
          <c:spPr>
            <a:solidFill>
              <a:sysClr val="window" lastClr="FFFFFF">
                <a:alpha val="99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l"/>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ln w="38100" cap="rnd">
            <a:solidFill>
              <a:srgbClr val="583253"/>
            </a:solidFill>
            <a:round/>
          </a:ln>
          <a:effectLst>
            <a:glow rad="139700">
              <a:srgbClr val="E012A0">
                <a:alpha val="40000"/>
              </a:srgbClr>
            </a:glow>
            <a:outerShdw blurRad="50800" dist="50800" dir="5400000" sx="2000" sy="2000" algn="ctr" rotWithShape="0">
              <a:srgbClr val="000000">
                <a:alpha val="43137"/>
              </a:srgbClr>
            </a:outerShdw>
          </a:effectLst>
        </c:spPr>
        <c:marker>
          <c:symbol val="circle"/>
          <c:size val="5"/>
          <c:spPr>
            <a:solidFill>
              <a:srgbClr val="E012A0"/>
            </a:solidFill>
            <a:ln w="9525">
              <a:solidFill>
                <a:schemeClr val="accent1"/>
              </a:solidFill>
            </a:ln>
            <a:effectLst>
              <a:glow rad="139700">
                <a:srgbClr val="E012A0">
                  <a:alpha val="40000"/>
                </a:srgbClr>
              </a:glow>
              <a:outerShdw blurRad="50800" dist="50800" dir="5400000" sx="2000" sy="2000" algn="ctr" rotWithShape="0">
                <a:srgbClr val="000000">
                  <a:alpha val="43137"/>
                </a:srgbClr>
              </a:outerShdw>
            </a:effectLst>
            <a:scene3d>
              <a:camera prst="orthographicFront"/>
              <a:lightRig rig="threePt" dir="t"/>
            </a:scene3d>
            <a:sp3d>
              <a:bevelT/>
              <a:bevelB prst="relaxedInset"/>
            </a:sp3d>
          </c:spPr>
        </c:marker>
      </c:pivotFmt>
      <c:pivotFmt>
        <c:idx val="6"/>
        <c:spPr>
          <a:ln w="38100" cap="rnd">
            <a:solidFill>
              <a:srgbClr val="583253"/>
            </a:solidFill>
            <a:round/>
          </a:ln>
          <a:effectLst>
            <a:glow rad="139700">
              <a:schemeClr val="bg1">
                <a:alpha val="40000"/>
              </a:schemeClr>
            </a:glow>
          </a:effectLst>
        </c:spPr>
        <c:marker>
          <c:symbol val="circle"/>
          <c:size val="5"/>
          <c:spPr>
            <a:solidFill>
              <a:schemeClr val="accent1"/>
            </a:solidFill>
            <a:ln w="9525">
              <a:solidFill>
                <a:schemeClr val="accent1"/>
              </a:solidFill>
            </a:ln>
            <a:effectLst>
              <a:glow rad="139700">
                <a:schemeClr val="bg1">
                  <a:alpha val="40000"/>
                </a:schemeClr>
              </a:glow>
            </a:effectLst>
            <a:scene3d>
              <a:camera prst="orthographicFront"/>
              <a:lightRig rig="threePt" dir="t"/>
            </a:scene3d>
            <a:sp3d>
              <a:bevelT prst="angle"/>
              <a:bevelB prst="relaxedInset"/>
            </a:sp3d>
          </c:spPr>
        </c:marker>
        <c:dLbl>
          <c:idx val="0"/>
          <c:spPr>
            <a:solidFill>
              <a:sysClr val="window" lastClr="FFFFFF">
                <a:alpha val="99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l"/>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ln w="38100" cap="rnd">
            <a:solidFill>
              <a:srgbClr val="583253"/>
            </a:solidFill>
            <a:round/>
          </a:ln>
          <a:effectLst>
            <a:glow rad="139700">
              <a:schemeClr val="bg1">
                <a:alpha val="40000"/>
              </a:schemeClr>
            </a:glow>
            <a:outerShdw blurRad="50800" dist="50800" dir="5400000" sx="2000" sy="2000" algn="ctr" rotWithShape="0">
              <a:srgbClr val="000000">
                <a:alpha val="43137"/>
              </a:srgbClr>
            </a:outerShdw>
          </a:effectLst>
        </c:spPr>
        <c:marker>
          <c:symbol val="circle"/>
          <c:size val="5"/>
          <c:spPr>
            <a:solidFill>
              <a:srgbClr val="E012A0"/>
            </a:solidFill>
            <a:ln w="9525">
              <a:solidFill>
                <a:schemeClr val="accent1"/>
              </a:solidFill>
            </a:ln>
            <a:effectLst>
              <a:glow rad="139700">
                <a:schemeClr val="bg1">
                  <a:alpha val="40000"/>
                </a:schemeClr>
              </a:glow>
              <a:outerShdw blurRad="50800" dist="50800" dir="5400000" sx="2000" sy="2000" algn="ctr" rotWithShape="0">
                <a:srgbClr val="000000">
                  <a:alpha val="43137"/>
                </a:srgbClr>
              </a:outerShdw>
            </a:effectLst>
            <a:scene3d>
              <a:camera prst="orthographicFront"/>
              <a:lightRig rig="threePt" dir="t"/>
            </a:scene3d>
            <a:sp3d>
              <a:bevelB prst="relaxedInset"/>
            </a:sp3d>
          </c:spPr>
        </c:marker>
      </c:pivotFmt>
      <c:pivotFmt>
        <c:idx val="8"/>
        <c:spPr>
          <a:ln w="38100" cap="rnd">
            <a:solidFill>
              <a:srgbClr val="583253"/>
            </a:solidFill>
            <a:round/>
          </a:ln>
          <a:effectLst>
            <a:glow rad="139700">
              <a:schemeClr val="bg1">
                <a:alpha val="40000"/>
              </a:schemeClr>
            </a:glow>
          </a:effectLst>
        </c:spPr>
        <c:marker>
          <c:symbol val="circle"/>
          <c:size val="5"/>
          <c:spPr>
            <a:solidFill>
              <a:schemeClr val="accent1"/>
            </a:solidFill>
            <a:ln w="9525">
              <a:solidFill>
                <a:schemeClr val="accent1"/>
              </a:solidFill>
            </a:ln>
            <a:effectLst>
              <a:glow rad="139700">
                <a:schemeClr val="bg1">
                  <a:alpha val="40000"/>
                </a:schemeClr>
              </a:glow>
            </a:effectLst>
            <a:scene3d>
              <a:camera prst="orthographicFront"/>
              <a:lightRig rig="threePt" dir="t"/>
            </a:scene3d>
            <a:sp3d>
              <a:bevelT prst="angle"/>
              <a:bevelB prst="relaxedInset"/>
            </a:sp3d>
          </c:spPr>
        </c:marker>
        <c:dLbl>
          <c:idx val="0"/>
          <c:spPr>
            <a:solidFill>
              <a:sysClr val="window" lastClr="FFFFFF">
                <a:alpha val="99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l"/>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ln w="38100" cap="rnd">
            <a:solidFill>
              <a:srgbClr val="583253"/>
            </a:solidFill>
            <a:round/>
          </a:ln>
          <a:effectLst>
            <a:glow rad="139700">
              <a:schemeClr val="bg1">
                <a:alpha val="40000"/>
              </a:schemeClr>
            </a:glow>
            <a:outerShdw blurRad="50800" dist="50800" dir="5400000" sx="2000" sy="2000" algn="ctr" rotWithShape="0">
              <a:srgbClr val="000000">
                <a:alpha val="43137"/>
              </a:srgbClr>
            </a:outerShdw>
          </a:effectLst>
        </c:spPr>
        <c:marker>
          <c:spPr>
            <a:solidFill>
              <a:srgbClr val="E012A0"/>
            </a:solidFill>
            <a:ln w="9525">
              <a:solidFill>
                <a:schemeClr val="accent1"/>
              </a:solidFill>
            </a:ln>
            <a:effectLst>
              <a:glow rad="139700">
                <a:schemeClr val="bg1">
                  <a:alpha val="40000"/>
                </a:schemeClr>
              </a:glow>
              <a:outerShdw blurRad="50800" dist="50800" dir="5400000" sx="2000" sy="2000" algn="ctr" rotWithShape="0">
                <a:srgbClr val="000000">
                  <a:alpha val="43137"/>
                </a:srgbClr>
              </a:outerShdw>
            </a:effectLst>
            <a:scene3d>
              <a:camera prst="orthographicFront"/>
              <a:lightRig rig="threePt" dir="t"/>
            </a:scene3d>
            <a:sp3d>
              <a:bevelB prst="relaxedInset"/>
            </a:sp3d>
          </c:spPr>
        </c:marker>
      </c:pivotFmt>
      <c:pivotFmt>
        <c:idx val="10"/>
        <c:spPr>
          <a:ln w="38100" cap="rnd">
            <a:solidFill>
              <a:srgbClr val="583253"/>
            </a:solidFill>
            <a:round/>
          </a:ln>
          <a:effectLst>
            <a:glow rad="139700">
              <a:schemeClr val="bg1">
                <a:alpha val="40000"/>
              </a:schemeClr>
            </a:glow>
          </a:effectLst>
        </c:spPr>
        <c:marker>
          <c:symbol val="circle"/>
          <c:size val="5"/>
          <c:spPr>
            <a:solidFill>
              <a:schemeClr val="accent1"/>
            </a:solidFill>
            <a:ln w="9525">
              <a:solidFill>
                <a:schemeClr val="accent1"/>
              </a:solidFill>
            </a:ln>
            <a:effectLst>
              <a:glow rad="139700">
                <a:schemeClr val="bg1">
                  <a:alpha val="40000"/>
                </a:schemeClr>
              </a:glow>
            </a:effectLst>
            <a:scene3d>
              <a:camera prst="orthographicFront"/>
              <a:lightRig rig="threePt" dir="t"/>
            </a:scene3d>
            <a:sp3d>
              <a:bevelT prst="angle"/>
              <a:bevelB prst="relaxedInset"/>
            </a:sp3d>
          </c:spPr>
        </c:marker>
        <c:dLbl>
          <c:idx val="0"/>
          <c:spPr>
            <a:solidFill>
              <a:sysClr val="window" lastClr="FFFFFF">
                <a:alpha val="99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l"/>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ln w="38100" cap="rnd">
            <a:solidFill>
              <a:srgbClr val="583253"/>
            </a:solidFill>
            <a:round/>
          </a:ln>
          <a:effectLst>
            <a:glow rad="139700">
              <a:schemeClr val="bg1">
                <a:alpha val="40000"/>
              </a:schemeClr>
            </a:glow>
            <a:outerShdw blurRad="50800" dist="50800" dir="5400000" sx="2000" sy="2000" algn="ctr" rotWithShape="0">
              <a:srgbClr val="000000">
                <a:alpha val="43137"/>
              </a:srgbClr>
            </a:outerShdw>
          </a:effectLst>
        </c:spPr>
        <c:marker>
          <c:spPr>
            <a:solidFill>
              <a:srgbClr val="E012A0"/>
            </a:solidFill>
            <a:ln w="9525">
              <a:solidFill>
                <a:schemeClr val="accent1"/>
              </a:solidFill>
            </a:ln>
            <a:effectLst>
              <a:glow rad="139700">
                <a:schemeClr val="bg1">
                  <a:alpha val="40000"/>
                </a:schemeClr>
              </a:glow>
              <a:outerShdw blurRad="50800" dist="50800" dir="5400000" sx="2000" sy="2000" algn="ctr" rotWithShape="0">
                <a:srgbClr val="000000">
                  <a:alpha val="43137"/>
                </a:srgbClr>
              </a:outerShdw>
            </a:effectLst>
            <a:scene3d>
              <a:camera prst="orthographicFront"/>
              <a:lightRig rig="threePt" dir="t"/>
            </a:scene3d>
            <a:sp3d>
              <a:bevelB prst="relaxedInset"/>
            </a:sp3d>
          </c:spPr>
        </c:marker>
      </c:pivotFmt>
      <c:pivotFmt>
        <c:idx val="12"/>
        <c:spPr>
          <a:ln w="38100" cap="rnd">
            <a:solidFill>
              <a:srgbClr val="583253"/>
            </a:solidFill>
            <a:round/>
          </a:ln>
          <a:effectLst>
            <a:glow rad="139700">
              <a:schemeClr val="bg1">
                <a:alpha val="40000"/>
              </a:schemeClr>
            </a:glow>
          </a:effectLst>
        </c:spPr>
        <c:marker>
          <c:symbol val="circle"/>
          <c:size val="5"/>
          <c:spPr>
            <a:solidFill>
              <a:schemeClr val="accent1"/>
            </a:solidFill>
            <a:ln w="9525">
              <a:solidFill>
                <a:schemeClr val="accent1"/>
              </a:solidFill>
            </a:ln>
            <a:effectLst>
              <a:glow rad="139700">
                <a:schemeClr val="bg1">
                  <a:alpha val="40000"/>
                </a:schemeClr>
              </a:glow>
            </a:effectLst>
            <a:scene3d>
              <a:camera prst="orthographicFront"/>
              <a:lightRig rig="threePt" dir="t"/>
            </a:scene3d>
            <a:sp3d>
              <a:bevelT prst="angle"/>
              <a:bevelB prst="relaxedInset"/>
            </a:sp3d>
          </c:spPr>
        </c:marker>
        <c:dLbl>
          <c:idx val="0"/>
          <c:spPr>
            <a:solidFill>
              <a:sysClr val="window" lastClr="FFFFFF">
                <a:alpha val="99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l"/>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ln w="38100" cap="rnd">
            <a:solidFill>
              <a:srgbClr val="583253"/>
            </a:solidFill>
            <a:round/>
          </a:ln>
          <a:effectLst>
            <a:glow rad="139700">
              <a:schemeClr val="bg1">
                <a:alpha val="40000"/>
              </a:schemeClr>
            </a:glow>
            <a:outerShdw blurRad="50800" dist="50800" dir="5400000" sx="2000" sy="2000" algn="ctr" rotWithShape="0">
              <a:srgbClr val="000000">
                <a:alpha val="43137"/>
              </a:srgbClr>
            </a:outerShdw>
          </a:effectLst>
        </c:spPr>
        <c:marker>
          <c:spPr>
            <a:solidFill>
              <a:srgbClr val="E012A0"/>
            </a:solidFill>
            <a:ln w="9525">
              <a:solidFill>
                <a:schemeClr val="accent1"/>
              </a:solidFill>
            </a:ln>
            <a:effectLst>
              <a:glow rad="139700">
                <a:schemeClr val="bg1">
                  <a:alpha val="40000"/>
                </a:schemeClr>
              </a:glow>
              <a:outerShdw blurRad="50800" dist="50800" dir="5400000" sx="2000" sy="2000" algn="ctr" rotWithShape="0">
                <a:srgbClr val="000000">
                  <a:alpha val="43137"/>
                </a:srgbClr>
              </a:outerShdw>
            </a:effectLst>
            <a:scene3d>
              <a:camera prst="orthographicFront"/>
              <a:lightRig rig="threePt" dir="t"/>
            </a:scene3d>
            <a:sp3d>
              <a:bevelB prst="relaxedInset"/>
            </a:sp3d>
          </c:spPr>
        </c:marker>
      </c:pivotFmt>
      <c:pivotFmt>
        <c:idx val="14"/>
        <c:spPr>
          <a:ln w="38100" cap="rnd">
            <a:solidFill>
              <a:srgbClr val="583253"/>
            </a:solidFill>
            <a:round/>
          </a:ln>
          <a:effectLst>
            <a:glow rad="139700">
              <a:schemeClr val="bg1">
                <a:alpha val="40000"/>
              </a:schemeClr>
            </a:glow>
          </a:effectLst>
        </c:spPr>
        <c:marker>
          <c:symbol val="circle"/>
          <c:size val="5"/>
          <c:spPr>
            <a:solidFill>
              <a:schemeClr val="accent1"/>
            </a:solidFill>
            <a:ln w="9525">
              <a:solidFill>
                <a:schemeClr val="accent1"/>
              </a:solidFill>
            </a:ln>
            <a:effectLst>
              <a:glow rad="139700">
                <a:schemeClr val="bg1">
                  <a:alpha val="40000"/>
                </a:schemeClr>
              </a:glow>
            </a:effectLst>
            <a:scene3d>
              <a:camera prst="orthographicFront"/>
              <a:lightRig rig="threePt" dir="t"/>
            </a:scene3d>
            <a:sp3d>
              <a:bevelT prst="angle"/>
              <a:bevelB prst="relaxedInset"/>
            </a:sp3d>
          </c:spPr>
        </c:marker>
        <c:dLbl>
          <c:idx val="0"/>
          <c:spPr>
            <a:solidFill>
              <a:sysClr val="window" lastClr="FFFFFF">
                <a:alpha val="99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l"/>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ln w="38100" cap="rnd">
            <a:solidFill>
              <a:srgbClr val="583253"/>
            </a:solidFill>
            <a:round/>
          </a:ln>
          <a:effectLst>
            <a:glow rad="139700">
              <a:schemeClr val="bg1">
                <a:alpha val="40000"/>
              </a:schemeClr>
            </a:glow>
            <a:outerShdw blurRad="50800" dist="50800" dir="5400000" sx="2000" sy="2000" algn="ctr" rotWithShape="0">
              <a:srgbClr val="000000">
                <a:alpha val="43137"/>
              </a:srgbClr>
            </a:outerShdw>
          </a:effectLst>
        </c:spPr>
        <c:marker>
          <c:spPr>
            <a:solidFill>
              <a:srgbClr val="E012A0"/>
            </a:solidFill>
            <a:ln w="9525">
              <a:solidFill>
                <a:schemeClr val="accent1"/>
              </a:solidFill>
            </a:ln>
            <a:effectLst>
              <a:glow rad="139700">
                <a:schemeClr val="bg1">
                  <a:alpha val="40000"/>
                </a:schemeClr>
              </a:glow>
              <a:outerShdw blurRad="50800" dist="50800" dir="5400000" sx="2000" sy="2000" algn="ctr" rotWithShape="0">
                <a:srgbClr val="000000">
                  <a:alpha val="43137"/>
                </a:srgbClr>
              </a:outerShdw>
            </a:effectLst>
            <a:scene3d>
              <a:camera prst="orthographicFront"/>
              <a:lightRig rig="threePt" dir="t"/>
            </a:scene3d>
            <a:sp3d>
              <a:bevelB prst="relaxedInset"/>
            </a:sp3d>
          </c:spPr>
        </c:marker>
      </c:pivotFmt>
    </c:pivotFmts>
    <c:plotArea>
      <c:layout>
        <c:manualLayout>
          <c:layoutTarget val="inner"/>
          <c:xMode val="edge"/>
          <c:yMode val="edge"/>
          <c:x val="0.21308356616713231"/>
          <c:y val="0.22624781277340328"/>
          <c:w val="0.60687431208195752"/>
          <c:h val="0.55531313794109072"/>
        </c:manualLayout>
      </c:layout>
      <c:lineChart>
        <c:grouping val="standard"/>
        <c:varyColors val="0"/>
        <c:ser>
          <c:idx val="0"/>
          <c:order val="0"/>
          <c:tx>
            <c:strRef>
              <c:f>Sheet5!$B$3</c:f>
              <c:strCache>
                <c:ptCount val="1"/>
                <c:pt idx="0">
                  <c:v>Total</c:v>
                </c:pt>
              </c:strCache>
            </c:strRef>
          </c:tx>
          <c:spPr>
            <a:ln w="38100" cap="rnd">
              <a:solidFill>
                <a:srgbClr val="583253"/>
              </a:solidFill>
              <a:round/>
            </a:ln>
            <a:effectLst>
              <a:glow rad="139700">
                <a:schemeClr val="bg1">
                  <a:alpha val="40000"/>
                </a:schemeClr>
              </a:glow>
            </a:effectLst>
          </c:spPr>
          <c:marker>
            <c:symbol val="circle"/>
            <c:size val="5"/>
            <c:spPr>
              <a:solidFill>
                <a:schemeClr val="accent1"/>
              </a:solidFill>
              <a:ln w="9525">
                <a:solidFill>
                  <a:schemeClr val="accent1"/>
                </a:solidFill>
              </a:ln>
              <a:effectLst>
                <a:glow rad="139700">
                  <a:schemeClr val="bg1">
                    <a:alpha val="40000"/>
                  </a:schemeClr>
                </a:glow>
              </a:effectLst>
              <a:scene3d>
                <a:camera prst="orthographicFront"/>
                <a:lightRig rig="threePt" dir="t"/>
              </a:scene3d>
              <a:sp3d>
                <a:bevelT prst="angle"/>
                <a:bevelB prst="relaxedInset"/>
              </a:sp3d>
            </c:spPr>
          </c:marker>
          <c:dPt>
            <c:idx val="1"/>
            <c:marker>
              <c:spPr>
                <a:solidFill>
                  <a:srgbClr val="E012A0"/>
                </a:solidFill>
                <a:ln w="9525">
                  <a:solidFill>
                    <a:schemeClr val="accent1"/>
                  </a:solidFill>
                </a:ln>
                <a:effectLst>
                  <a:glow rad="139700">
                    <a:schemeClr val="bg1">
                      <a:alpha val="40000"/>
                    </a:schemeClr>
                  </a:glow>
                  <a:outerShdw blurRad="50800" dist="50800" dir="5400000" sx="2000" sy="2000" algn="ctr" rotWithShape="0">
                    <a:srgbClr val="000000">
                      <a:alpha val="43137"/>
                    </a:srgbClr>
                  </a:outerShdw>
                </a:effectLst>
                <a:scene3d>
                  <a:camera prst="orthographicFront"/>
                  <a:lightRig rig="threePt" dir="t"/>
                </a:scene3d>
                <a:sp3d>
                  <a:bevelB prst="relaxedInset"/>
                </a:sp3d>
              </c:spPr>
            </c:marker>
            <c:bubble3D val="0"/>
            <c:spPr>
              <a:ln w="38100" cap="rnd">
                <a:solidFill>
                  <a:srgbClr val="583253"/>
                </a:solidFill>
                <a:round/>
              </a:ln>
              <a:effectLst>
                <a:glow rad="139700">
                  <a:schemeClr val="bg1">
                    <a:alpha val="40000"/>
                  </a:schemeClr>
                </a:glow>
                <a:outerShdw blurRad="50800" dist="50800" dir="5400000" sx="2000" sy="2000" algn="ctr" rotWithShape="0">
                  <a:srgbClr val="000000">
                    <a:alpha val="43137"/>
                  </a:srgbClr>
                </a:outerShdw>
              </a:effectLst>
            </c:spPr>
            <c:extLst>
              <c:ext xmlns:c16="http://schemas.microsoft.com/office/drawing/2014/chart" uri="{C3380CC4-5D6E-409C-BE32-E72D297353CC}">
                <c16:uniqueId val="{00000001-4DED-4BFB-A9D3-ADB88543152A}"/>
              </c:ext>
            </c:extLst>
          </c:dPt>
          <c:dLbls>
            <c:spPr>
              <a:solidFill>
                <a:sysClr val="window" lastClr="FFFFFF">
                  <a:alpha val="99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l"/>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Sheet5!$A$4:$A$6</c:f>
              <c:strCache>
                <c:ptCount val="2"/>
                <c:pt idx="0">
                  <c:v>Jan</c:v>
                </c:pt>
                <c:pt idx="1">
                  <c:v>Feb</c:v>
                </c:pt>
              </c:strCache>
            </c:strRef>
          </c:cat>
          <c:val>
            <c:numRef>
              <c:f>Sheet5!$B$4:$B$6</c:f>
              <c:numCache>
                <c:formatCode>General</c:formatCode>
                <c:ptCount val="2"/>
                <c:pt idx="0">
                  <c:v>390800</c:v>
                </c:pt>
                <c:pt idx="1">
                  <c:v>83150</c:v>
                </c:pt>
              </c:numCache>
            </c:numRef>
          </c:val>
          <c:smooth val="0"/>
          <c:extLst>
            <c:ext xmlns:c16="http://schemas.microsoft.com/office/drawing/2014/chart" uri="{C3380CC4-5D6E-409C-BE32-E72D297353CC}">
              <c16:uniqueId val="{00000002-4DED-4BFB-A9D3-ADB88543152A}"/>
            </c:ext>
          </c:extLst>
        </c:ser>
        <c:dLbls>
          <c:showLegendKey val="0"/>
          <c:showVal val="0"/>
          <c:showCatName val="0"/>
          <c:showSerName val="0"/>
          <c:showPercent val="0"/>
          <c:showBubbleSize val="0"/>
        </c:dLbls>
        <c:marker val="1"/>
        <c:smooth val="0"/>
        <c:axId val="2003162463"/>
        <c:axId val="2003167743"/>
      </c:lineChart>
      <c:catAx>
        <c:axId val="2003162463"/>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sz="1200">
                    <a:solidFill>
                      <a:schemeClr val="tx1"/>
                    </a:solidFill>
                  </a:rPr>
                  <a:t>Month</a:t>
                </a:r>
              </a:p>
            </c:rich>
          </c:tx>
          <c:overlay val="0"/>
          <c:spPr>
            <a:noFill/>
            <a:ln>
              <a:noFill/>
            </a:ln>
            <a:effectLst/>
          </c:sp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003167743"/>
        <c:crosses val="autoZero"/>
        <c:auto val="1"/>
        <c:lblAlgn val="ctr"/>
        <c:lblOffset val="100"/>
        <c:noMultiLvlLbl val="0"/>
      </c:catAx>
      <c:valAx>
        <c:axId val="2003167743"/>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sz="1200">
                    <a:solidFill>
                      <a:schemeClr val="tx1"/>
                    </a:solidFill>
                  </a:rPr>
                  <a:t>Sales</a:t>
                </a:r>
              </a:p>
            </c:rich>
          </c:tx>
          <c:layout>
            <c:manualLayout>
              <c:xMode val="edge"/>
              <c:yMode val="edge"/>
              <c:x val="4.1939679081268146E-2"/>
              <c:y val="0.4121103091280256"/>
            </c:manualLayout>
          </c:layout>
          <c:overlay val="0"/>
          <c:spPr>
            <a:noFill/>
            <a:ln>
              <a:noFill/>
            </a:ln>
            <a:effectLst/>
          </c:sp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003162463"/>
        <c:crosses val="autoZero"/>
        <c:crossBetween val="between"/>
      </c:valAx>
    </c:plotArea>
    <c:legend>
      <c:legendPos val="r"/>
      <c:layout>
        <c:manualLayout>
          <c:xMode val="edge"/>
          <c:yMode val="edge"/>
          <c:x val="0.82145466964835556"/>
          <c:y val="0.37868000874890639"/>
          <c:w val="0.15007745625586119"/>
          <c:h val="0.2199085010207057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[Sales_Data_Dashboard(1).xlsx]Sheet3!Sales by Region</c:name>
    <c:fmtId val="44"/>
  </c:pivotSource>
  <c:chart>
    <c:title>
      <c:tx>
        <c:rich>
          <a:bodyPr rot="0" spcFirstLastPara="1" vertOverflow="ellipsis" vert="horz" wrap="square" anchor="ctr" anchorCtr="1"/>
          <a:lstStyle/>
          <a:p>
            <a:pPr>
              <a:defRPr sz="1600" b="0" i="0" u="none" strike="noStrike" kern="1200" spc="0" baseline="0">
                <a:solidFill>
                  <a:schemeClr val="tx1">
                    <a:lumMod val="95000"/>
                    <a:lumOff val="5000"/>
                  </a:schemeClr>
                </a:solidFill>
                <a:latin typeface="+mn-lt"/>
                <a:ea typeface="+mn-ea"/>
                <a:cs typeface="+mn-cs"/>
              </a:defRPr>
            </a:pPr>
            <a:r>
              <a:rPr lang="en-US" sz="1600" b="1" i="0" u="none" strike="noStrike" baseline="0">
                <a:solidFill>
                  <a:schemeClr val="tx1">
                    <a:lumMod val="95000"/>
                    <a:lumOff val="5000"/>
                  </a:schemeClr>
                </a:solidFill>
              </a:rPr>
              <a:t>Sales by Region</a:t>
            </a:r>
            <a:endParaRPr lang="en-US" sz="1600" b="1">
              <a:solidFill>
                <a:schemeClr val="tx1">
                  <a:lumMod val="95000"/>
                  <a:lumOff val="5000"/>
                </a:schemeClr>
              </a:solidFill>
            </a:endParaRPr>
          </a:p>
        </c:rich>
      </c:tx>
      <c:layout>
        <c:manualLayout>
          <c:xMode val="edge"/>
          <c:yMode val="edge"/>
          <c:x val="0.38958792487290028"/>
          <c:y val="8.831629430888106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rgbClr val="FF0000"/>
          </a:solidFill>
          <a:ln cap="rnd" cmpd="sng">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prstDash val="sysDash"/>
          </a:ln>
          <a:effectLst>
            <a:glow rad="228600">
              <a:srgbClr val="C00000">
                <a:alpha val="40000"/>
              </a:srgbClr>
            </a:glow>
          </a:effectLst>
          <a:scene3d>
            <a:camera prst="orthographicFront"/>
            <a:lightRig rig="sunse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alpha val="91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cap="rnd" cmpd="sng">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prstDash val="sysDash"/>
          </a:ln>
          <a:effectLst>
            <a:glow rad="228600">
              <a:srgbClr val="C00000">
                <a:alpha val="40000"/>
              </a:srgbClr>
            </a:glow>
          </a:effectLst>
          <a:scene3d>
            <a:camera prst="orthographicFront"/>
            <a:lightRig rig="sunse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alpha val="91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cap="rnd" cmpd="sng">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prstDash val="sysDash"/>
          </a:ln>
          <a:effectLst>
            <a:glow rad="228600">
              <a:schemeClr val="bg1">
                <a:alpha val="40000"/>
              </a:schemeClr>
            </a:glow>
          </a:effectLst>
          <a:scene3d>
            <a:camera prst="orthographicFront"/>
            <a:lightRig rig="sunse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alpha val="91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cap="rnd" cmpd="sng">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prstDash val="sysDash"/>
          </a:ln>
          <a:effectLst>
            <a:glow rad="228600">
              <a:schemeClr val="bg1">
                <a:alpha val="40000"/>
              </a:schemeClr>
            </a:glow>
          </a:effectLst>
          <a:scene3d>
            <a:camera prst="orthographicFront"/>
            <a:lightRig rig="sunse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alpha val="91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cap="rnd" cmpd="sng">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prstDash val="sysDash"/>
          </a:ln>
          <a:effectLst>
            <a:glow rad="228600">
              <a:schemeClr val="bg1">
                <a:alpha val="40000"/>
              </a:schemeClr>
            </a:glow>
          </a:effectLst>
          <a:scene3d>
            <a:camera prst="orthographicFront"/>
            <a:lightRig rig="sunse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alpha val="91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cap="rnd" cmpd="sng">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prstDash val="sysDash"/>
          </a:ln>
          <a:effectLst>
            <a:glow rad="228600">
              <a:schemeClr val="bg1">
                <a:alpha val="40000"/>
              </a:schemeClr>
            </a:glow>
          </a:effectLst>
          <a:scene3d>
            <a:camera prst="orthographicFront"/>
            <a:lightRig rig="sunse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alpha val="91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cap="rnd" cmpd="sng">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prstDash val="sysDash"/>
          </a:ln>
          <a:effectLst>
            <a:glow rad="228600">
              <a:schemeClr val="bg1">
                <a:alpha val="40000"/>
              </a:schemeClr>
            </a:glow>
          </a:effectLst>
          <a:scene3d>
            <a:camera prst="orthographicFront"/>
            <a:lightRig rig="sunse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alpha val="91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1852565191941"/>
          <c:y val="0.17855058117735279"/>
          <c:w val="0.68963009120262841"/>
          <c:h val="0.6429798275215598"/>
        </c:manualLayout>
      </c:layout>
      <c:barChart>
        <c:barDir val="bar"/>
        <c:grouping val="clustered"/>
        <c:varyColors val="0"/>
        <c:ser>
          <c:idx val="0"/>
          <c:order val="0"/>
          <c:tx>
            <c:strRef>
              <c:f>Sheet3!$B$3</c:f>
              <c:strCache>
                <c:ptCount val="1"/>
                <c:pt idx="0">
                  <c:v>Total</c:v>
                </c:pt>
              </c:strCache>
            </c:strRef>
          </c:tx>
          <c:spPr>
            <a:solidFill>
              <a:srgbClr val="FF0000"/>
            </a:solidFill>
            <a:ln cap="rnd" cmpd="sng">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prstDash val="sysDash"/>
            </a:ln>
            <a:effectLst>
              <a:glow rad="228600">
                <a:schemeClr val="bg1">
                  <a:alpha val="40000"/>
                </a:schemeClr>
              </a:glow>
            </a:effectLst>
            <a:scene3d>
              <a:camera prst="orthographicFront"/>
              <a:lightRig rig="sunset" dir="t"/>
            </a:scene3d>
            <a:sp3d>
              <a:bevelT prst="angle"/>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alpha val="91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East</c:v>
                </c:pt>
                <c:pt idx="1">
                  <c:v>North</c:v>
                </c:pt>
                <c:pt idx="2">
                  <c:v>South</c:v>
                </c:pt>
                <c:pt idx="3">
                  <c:v>West</c:v>
                </c:pt>
              </c:strCache>
            </c:strRef>
          </c:cat>
          <c:val>
            <c:numRef>
              <c:f>Sheet3!$B$4:$B$8</c:f>
              <c:numCache>
                <c:formatCode>General</c:formatCode>
                <c:ptCount val="4"/>
                <c:pt idx="0">
                  <c:v>111300</c:v>
                </c:pt>
                <c:pt idx="1">
                  <c:v>166800</c:v>
                </c:pt>
                <c:pt idx="2">
                  <c:v>84700</c:v>
                </c:pt>
                <c:pt idx="3">
                  <c:v>111150</c:v>
                </c:pt>
              </c:numCache>
            </c:numRef>
          </c:val>
          <c:extLst>
            <c:ext xmlns:c16="http://schemas.microsoft.com/office/drawing/2014/chart" uri="{C3380CC4-5D6E-409C-BE32-E72D297353CC}">
              <c16:uniqueId val="{00000000-9416-4951-8DF3-3652A7FDB3BD}"/>
            </c:ext>
          </c:extLst>
        </c:ser>
        <c:dLbls>
          <c:showLegendKey val="0"/>
          <c:showVal val="0"/>
          <c:showCatName val="0"/>
          <c:showSerName val="0"/>
          <c:showPercent val="0"/>
          <c:showBubbleSize val="0"/>
        </c:dLbls>
        <c:gapWidth val="182"/>
        <c:axId val="2003162943"/>
        <c:axId val="2003154783"/>
      </c:barChart>
      <c:catAx>
        <c:axId val="2003162943"/>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 </a:t>
                </a:r>
                <a:r>
                  <a:rPr lang="en-US" sz="1200" b="1">
                    <a:solidFill>
                      <a:schemeClr val="tx1"/>
                    </a:solidFill>
                  </a:rPr>
                  <a:t>Region</a:t>
                </a:r>
              </a:p>
            </c:rich>
          </c:tx>
          <c:layout>
            <c:manualLayout>
              <c:xMode val="edge"/>
              <c:yMode val="edge"/>
              <c:x val="0.12379092553669835"/>
              <c:y val="0.42662490929640984"/>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2003154783"/>
        <c:crosses val="autoZero"/>
        <c:auto val="1"/>
        <c:lblAlgn val="ctr"/>
        <c:lblOffset val="100"/>
        <c:noMultiLvlLbl val="0"/>
      </c:catAx>
      <c:valAx>
        <c:axId val="2003154783"/>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1">
                    <a:solidFill>
                      <a:schemeClr val="tx1">
                        <a:lumMod val="95000"/>
                        <a:lumOff val="5000"/>
                      </a:schemeClr>
                    </a:solidFill>
                  </a:rPr>
                  <a:t>Sales</a:t>
                </a:r>
              </a:p>
            </c:rich>
          </c:tx>
          <c:layout>
            <c:manualLayout>
              <c:xMode val="edge"/>
              <c:yMode val="edge"/>
              <c:x val="0.49124605827149315"/>
              <c:y val="0.8946666666666667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200316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[Sales_Data_Dashboard(1).xlsx]Sheet4!Profit by Category</c:name>
    <c:fmtId val="2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t>Profit by Category</a:t>
            </a:r>
          </a:p>
        </c:rich>
      </c:tx>
      <c:layout>
        <c:manualLayout>
          <c:xMode val="edge"/>
          <c:yMode val="edge"/>
          <c:x val="0.37159660910485498"/>
          <c:y val="9.977875335354169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00627"/>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glow rad="63500">
              <a:schemeClr val="accent2">
                <a:satMod val="175000"/>
                <a:alpha val="40000"/>
              </a:schemeClr>
            </a:glow>
            <a:outerShdw blurRad="50800" dist="38100" dir="2700000" algn="tl" rotWithShape="0">
              <a:prstClr val="black">
                <a:alpha val="40000"/>
              </a:prstClr>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accent2">
                <a:satMod val="175000"/>
                <a:alpha val="40000"/>
              </a:schemeClr>
            </a:glow>
            <a:outerShdw blurRad="50800" dist="38100" dir="5400000" algn="t" rotWithShape="0">
              <a:srgbClr val="E012A0">
                <a:alpha val="40000"/>
              </a:srgbClr>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012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accent2">
                <a:satMod val="175000"/>
                <a:alpha val="40000"/>
              </a:schemeClr>
            </a:glow>
            <a:outerShdw blurRad="50800" dist="38100" dir="5400000" algn="t" rotWithShape="0">
              <a:prstClr val="black">
                <a:alpha val="40000"/>
              </a:prstClr>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00627"/>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glow rad="63500">
              <a:schemeClr val="accent2">
                <a:satMod val="175000"/>
                <a:alpha val="40000"/>
              </a:schemeClr>
            </a:glow>
            <a:outerShdw blurRad="50800" dist="38100" dir="2700000" algn="tl" rotWithShape="0">
              <a:prstClr val="black">
                <a:alpha val="40000"/>
              </a:prstClr>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accent2">
                <a:satMod val="175000"/>
                <a:alpha val="40000"/>
              </a:schemeClr>
            </a:glow>
            <a:outerShdw blurRad="50800" dist="38100" dir="5400000" algn="t" rotWithShape="0">
              <a:srgbClr val="E012A0">
                <a:alpha val="40000"/>
              </a:srgbClr>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012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accent2">
                <a:satMod val="175000"/>
                <a:alpha val="40000"/>
              </a:schemeClr>
            </a:glow>
            <a:outerShdw blurRad="50800" dist="38100" dir="5400000" algn="t" rotWithShape="0">
              <a:prstClr val="black">
                <a:alpha val="40000"/>
              </a:prstClr>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outerShdw blurRad="50800" dist="50800" dir="5400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00627"/>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030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012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a:outerShdw blurRad="50800" dist="50800" dir="5400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00627"/>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7030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E012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a:outerShdw blurRad="50800" dist="50800" dir="5400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00627"/>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7030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E012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a:outerShdw blurRad="50800" dist="50800" dir="5400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00627"/>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7030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E012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a:outerShdw blurRad="50800" dist="50800" dir="5400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F00627"/>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7030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E012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13429571303587"/>
          <c:y val="0.32532377276756308"/>
          <c:w val="0.38229636920384952"/>
          <c:h val="0.60283264526231195"/>
        </c:manualLayout>
      </c:layout>
      <c:pieChart>
        <c:varyColors val="1"/>
        <c:ser>
          <c:idx val="0"/>
          <c:order val="0"/>
          <c:tx>
            <c:strRef>
              <c:f>Sheet4!$B$3</c:f>
              <c:strCache>
                <c:ptCount val="1"/>
                <c:pt idx="0">
                  <c:v>Total</c:v>
                </c:pt>
              </c:strCache>
            </c:strRef>
          </c:tx>
          <c:spPr>
            <a:effectLst>
              <a:outerShdw blurRad="50800" dist="50800" dir="5400000" algn="ctr" rotWithShape="0">
                <a:schemeClr val="bg1"/>
              </a:outerShdw>
            </a:effectLst>
          </c:spPr>
          <c:dPt>
            <c:idx val="0"/>
            <c:bubble3D val="0"/>
            <c:spPr>
              <a:solidFill>
                <a:srgbClr val="F00627"/>
              </a:solidFill>
              <a:ln w="1905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extLst>
              <c:ext xmlns:c16="http://schemas.microsoft.com/office/drawing/2014/chart" uri="{C3380CC4-5D6E-409C-BE32-E72D297353CC}">
                <c16:uniqueId val="{00000001-1DC2-431C-B964-9D7238DC2CEF}"/>
              </c:ext>
            </c:extLst>
          </c:dPt>
          <c:dPt>
            <c:idx val="1"/>
            <c:bubble3D val="0"/>
            <c:spPr>
              <a:solidFill>
                <a:srgbClr val="7030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extLst>
              <c:ext xmlns:c16="http://schemas.microsoft.com/office/drawing/2014/chart" uri="{C3380CC4-5D6E-409C-BE32-E72D297353CC}">
                <c16:uniqueId val="{00000003-1DC2-431C-B964-9D7238DC2CEF}"/>
              </c:ext>
            </c:extLst>
          </c:dPt>
          <c:dPt>
            <c:idx val="2"/>
            <c:bubble3D val="0"/>
            <c:spPr>
              <a:solidFill>
                <a:srgbClr val="E012A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bg1">
                    <a:alpha val="40000"/>
                  </a:schemeClr>
                </a:glow>
                <a:outerShdw blurRad="50800" dist="50800" dir="5400000" algn="ctr" rotWithShape="0">
                  <a:schemeClr val="bg1"/>
                </a:outerShdw>
              </a:effectLst>
              <a:scene3d>
                <a:camera prst="orthographicFront"/>
                <a:lightRig rig="threePt" dir="t"/>
              </a:scene3d>
              <a:sp3d>
                <a:bevelT/>
              </a:sp3d>
            </c:spPr>
            <c:extLst>
              <c:ext xmlns:c16="http://schemas.microsoft.com/office/drawing/2014/chart" uri="{C3380CC4-5D6E-409C-BE32-E72D297353CC}">
                <c16:uniqueId val="{00000005-1DC2-431C-B964-9D7238DC2CEF}"/>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DC2-431C-B964-9D7238DC2CEF}"/>
                </c:ext>
              </c:extLst>
            </c:dLbl>
            <c:dLbl>
              <c:idx val="1"/>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DC2-431C-B964-9D7238DC2CEF}"/>
                </c:ext>
              </c:extLst>
            </c:dLbl>
            <c:dLbl>
              <c:idx val="2"/>
              <c:spPr>
                <a:noFill/>
                <a:ln>
                  <a:noFill/>
                </a:ln>
                <a:effectLst/>
              </c:spPr>
              <c:txPr>
                <a:bodyPr rot="0" spcFirstLastPara="1" vertOverflow="ellipsis" vert="horz" wrap="square" lIns="38100" tIns="19050" rIns="38100" bIns="19050" anchor="ctr" anchorCtr="1">
                  <a:spAutoFit/>
                </a:bodyPr>
                <a:lstStyle/>
                <a:p>
                  <a:pPr>
                    <a:defRPr sz="1200" b="0"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DC2-431C-B964-9D7238DC2CEF}"/>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Sheet4!$A$4:$A$7</c:f>
              <c:strCache>
                <c:ptCount val="3"/>
                <c:pt idx="0">
                  <c:v>Electronics</c:v>
                </c:pt>
                <c:pt idx="1">
                  <c:v>Furniture</c:v>
                </c:pt>
                <c:pt idx="2">
                  <c:v>Office Supplies</c:v>
                </c:pt>
              </c:strCache>
            </c:strRef>
          </c:cat>
          <c:val>
            <c:numRef>
              <c:f>Sheet4!$B$4:$B$7</c:f>
              <c:numCache>
                <c:formatCode>General</c:formatCode>
                <c:ptCount val="3"/>
                <c:pt idx="0">
                  <c:v>38400</c:v>
                </c:pt>
                <c:pt idx="1">
                  <c:v>37600</c:v>
                </c:pt>
                <c:pt idx="2">
                  <c:v>3230</c:v>
                </c:pt>
              </c:numCache>
            </c:numRef>
          </c:val>
          <c:extLst>
            <c:ext xmlns:c16="http://schemas.microsoft.com/office/drawing/2014/chart" uri="{C3380CC4-5D6E-409C-BE32-E72D297353CC}">
              <c16:uniqueId val="{00000006-1DC2-431C-B964-9D7238DC2CE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6112029746281729"/>
          <c:y val="0.28869130941965587"/>
          <c:w val="0.20276859142607173"/>
          <c:h val="0.49145778652668415"/>
        </c:manualLayout>
      </c:layout>
      <c:overlay val="0"/>
      <c:spPr>
        <a:noFill/>
        <a:ln>
          <a:noFill/>
        </a:ln>
        <a:effectLst>
          <a:glow rad="63500">
            <a:schemeClr val="accent1">
              <a:satMod val="175000"/>
              <a:alpha val="40000"/>
            </a:schemeClr>
          </a:glow>
          <a:outerShdw blurRad="50800" dist="50800" algn="ctr" rotWithShape="0">
            <a:srgbClr val="000000">
              <a:alpha val="43137"/>
            </a:srgbClr>
          </a:outerShdw>
        </a:effectLst>
      </c:spPr>
      <c:txPr>
        <a:bodyPr rot="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[Sales_Data_Dashboard(1).xlsx]Sheet6!Top Products</c:name>
    <c:fmtId val="34"/>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i="0" u="none" strike="noStrike" baseline="0"/>
              <a:t>Top Products</a:t>
            </a:r>
            <a:endParaRPr lang="en-US"/>
          </a:p>
        </c:rich>
      </c:tx>
      <c:layout>
        <c:manualLayout>
          <c:xMode val="edge"/>
          <c:yMode val="edge"/>
          <c:x val="0.41421759627096588"/>
          <c:y val="8.571178509610918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CC0066"/>
          </a:solidFill>
          <a:ln>
            <a:noFill/>
          </a:ln>
          <a:effectLst>
            <a:glow rad="127000">
              <a:srgbClr val="E012A0">
                <a:alpha val="95000"/>
              </a:srgbClr>
            </a:glow>
          </a:effectLst>
          <a:scene3d>
            <a:camera prst="orthographicFront"/>
            <a:lightRig rig="flat" dir="t"/>
          </a:scene3d>
          <a:sp3d prstMaterial="dkEdge">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0066"/>
          </a:solidFill>
          <a:ln>
            <a:noFill/>
          </a:ln>
          <a:effectLst>
            <a:glow rad="127000">
              <a:srgbClr val="E012A0">
                <a:alpha val="95000"/>
              </a:srgbClr>
            </a:glow>
          </a:effectLst>
          <a:scene3d>
            <a:camera prst="orthographicFront"/>
            <a:lightRig rig="flat" dir="t"/>
          </a:scene3d>
          <a:sp3d prstMaterial="dkEdge">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C0066"/>
          </a:solidFill>
          <a:ln>
            <a:noFill/>
          </a:ln>
          <a:effectLst>
            <a:glow rad="127000">
              <a:schemeClr val="bg1">
                <a:alpha val="95000"/>
              </a:schemeClr>
            </a:glow>
          </a:effectLst>
          <a:scene3d>
            <a:camera prst="orthographicFront"/>
            <a:lightRig rig="flat" dir="t"/>
          </a:scene3d>
          <a:sp3d prstMaterial="dkEdge">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C0066"/>
          </a:solidFill>
          <a:ln>
            <a:noFill/>
          </a:ln>
          <a:effectLst>
            <a:glow rad="127000">
              <a:schemeClr val="bg1">
                <a:alpha val="95000"/>
              </a:schemeClr>
            </a:glow>
          </a:effectLst>
          <a:scene3d>
            <a:camera prst="orthographicFront"/>
            <a:lightRig rig="flat" dir="t"/>
          </a:scene3d>
          <a:sp3d prstMaterial="dkEdge">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C0066"/>
          </a:solidFill>
          <a:ln>
            <a:noFill/>
          </a:ln>
          <a:effectLst>
            <a:glow rad="127000">
              <a:schemeClr val="bg1">
                <a:alpha val="95000"/>
              </a:schemeClr>
            </a:glow>
          </a:effectLst>
          <a:scene3d>
            <a:camera prst="orthographicFront"/>
            <a:lightRig rig="flat" dir="t"/>
          </a:scene3d>
          <a:sp3d prstMaterial="dkEdge">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C0066"/>
          </a:solidFill>
          <a:ln>
            <a:noFill/>
          </a:ln>
          <a:effectLst>
            <a:glow rad="127000">
              <a:schemeClr val="bg1">
                <a:alpha val="95000"/>
              </a:schemeClr>
            </a:glow>
          </a:effectLst>
          <a:scene3d>
            <a:camera prst="orthographicFront"/>
            <a:lightRig rig="flat" dir="t"/>
          </a:scene3d>
          <a:sp3d prstMaterial="dkEdge">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C0066"/>
          </a:solidFill>
          <a:ln>
            <a:noFill/>
          </a:ln>
          <a:effectLst>
            <a:glow rad="127000">
              <a:schemeClr val="bg1">
                <a:alpha val="95000"/>
              </a:schemeClr>
            </a:glow>
          </a:effectLst>
          <a:scene3d>
            <a:camera prst="orthographicFront"/>
            <a:lightRig rig="flat" dir="t"/>
          </a:scene3d>
          <a:sp3d prstMaterial="dkEdge">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6035346882755"/>
          <c:y val="0.26328484981044037"/>
          <c:w val="0.76725925058624178"/>
          <c:h val="0.4350667104111986"/>
        </c:manualLayout>
      </c:layout>
      <c:barChart>
        <c:barDir val="col"/>
        <c:grouping val="clustered"/>
        <c:varyColors val="0"/>
        <c:ser>
          <c:idx val="0"/>
          <c:order val="0"/>
          <c:tx>
            <c:strRef>
              <c:f>Sheet6!$B$3</c:f>
              <c:strCache>
                <c:ptCount val="1"/>
                <c:pt idx="0">
                  <c:v>Total</c:v>
                </c:pt>
              </c:strCache>
            </c:strRef>
          </c:tx>
          <c:spPr>
            <a:solidFill>
              <a:srgbClr val="CC0066"/>
            </a:solidFill>
            <a:ln>
              <a:noFill/>
            </a:ln>
            <a:effectLst>
              <a:glow rad="127000">
                <a:schemeClr val="bg1">
                  <a:alpha val="95000"/>
                </a:schemeClr>
              </a:glow>
            </a:effectLst>
            <a:scene3d>
              <a:camera prst="orthographicFront"/>
              <a:lightRig rig="flat" dir="t"/>
            </a:scene3d>
            <a:sp3d prstMaterial="dkEdge">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Sheet6!$A$4:$A$14</c:f>
              <c:strCache>
                <c:ptCount val="10"/>
                <c:pt idx="0">
                  <c:v>Bed</c:v>
                </c:pt>
                <c:pt idx="1">
                  <c:v>Camera</c:v>
                </c:pt>
                <c:pt idx="2">
                  <c:v>Chair</c:v>
                </c:pt>
                <c:pt idx="3">
                  <c:v>Cupboard</c:v>
                </c:pt>
                <c:pt idx="4">
                  <c:v>Laptop</c:v>
                </c:pt>
                <c:pt idx="5">
                  <c:v>Mobile</c:v>
                </c:pt>
                <c:pt idx="6">
                  <c:v>Monitor</c:v>
                </c:pt>
                <c:pt idx="7">
                  <c:v>Sofa</c:v>
                </c:pt>
                <c:pt idx="8">
                  <c:v>Table</c:v>
                </c:pt>
                <c:pt idx="9">
                  <c:v>Tablet</c:v>
                </c:pt>
              </c:strCache>
            </c:strRef>
          </c:cat>
          <c:val>
            <c:numRef>
              <c:f>Sheet6!$B$4:$B$14</c:f>
              <c:numCache>
                <c:formatCode>General</c:formatCode>
                <c:ptCount val="10"/>
                <c:pt idx="0">
                  <c:v>62000</c:v>
                </c:pt>
                <c:pt idx="1">
                  <c:v>51000</c:v>
                </c:pt>
                <c:pt idx="2">
                  <c:v>16500</c:v>
                </c:pt>
                <c:pt idx="3">
                  <c:v>41000</c:v>
                </c:pt>
                <c:pt idx="4">
                  <c:v>92000</c:v>
                </c:pt>
                <c:pt idx="5">
                  <c:v>42000</c:v>
                </c:pt>
                <c:pt idx="6">
                  <c:v>25000</c:v>
                </c:pt>
                <c:pt idx="7">
                  <c:v>52000</c:v>
                </c:pt>
                <c:pt idx="8">
                  <c:v>22300</c:v>
                </c:pt>
                <c:pt idx="9">
                  <c:v>31000</c:v>
                </c:pt>
              </c:numCache>
            </c:numRef>
          </c:val>
          <c:extLst>
            <c:ext xmlns:c16="http://schemas.microsoft.com/office/drawing/2014/chart" uri="{C3380CC4-5D6E-409C-BE32-E72D297353CC}">
              <c16:uniqueId val="{00000000-0BF3-404B-932E-F62CF1D71902}"/>
            </c:ext>
          </c:extLst>
        </c:ser>
        <c:dLbls>
          <c:showLegendKey val="0"/>
          <c:showVal val="0"/>
          <c:showCatName val="0"/>
          <c:showSerName val="0"/>
          <c:showPercent val="0"/>
          <c:showBubbleSize val="0"/>
        </c:dLbls>
        <c:gapWidth val="219"/>
        <c:overlap val="-27"/>
        <c:axId val="2013072719"/>
        <c:axId val="2013073199"/>
      </c:barChart>
      <c:catAx>
        <c:axId val="2013072719"/>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Product</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13073199"/>
        <c:crosses val="autoZero"/>
        <c:auto val="1"/>
        <c:lblAlgn val="ctr"/>
        <c:lblOffset val="100"/>
        <c:noMultiLvlLbl val="0"/>
      </c:catAx>
      <c:valAx>
        <c:axId val="2013073199"/>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a:solidFill>
                      <a:sysClr val="windowText" lastClr="000000"/>
                    </a:solidFill>
                  </a:rPr>
                  <a:t>Sales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13072719"/>
        <c:crosses val="autoZero"/>
        <c:crossBetween val="between"/>
      </c:valAx>
      <c:spPr>
        <a:noFill/>
        <a:ln>
          <a:noFill/>
        </a:ln>
        <a:effectLst/>
      </c:spPr>
    </c:plotArea>
    <c:legend>
      <c:legendPos val="r"/>
      <c:layout>
        <c:manualLayout>
          <c:xMode val="edge"/>
          <c:yMode val="edge"/>
          <c:x val="0.85711716261120563"/>
          <c:y val="0.15755080974590407"/>
          <c:w val="0.11915464990866641"/>
          <c:h val="0.116969416592710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4</xdr:col>
      <xdr:colOff>127000</xdr:colOff>
      <xdr:row>47</xdr:row>
      <xdr:rowOff>169334</xdr:rowOff>
    </xdr:from>
    <xdr:to>
      <xdr:col>8</xdr:col>
      <xdr:colOff>59267</xdr:colOff>
      <xdr:row>63</xdr:row>
      <xdr:rowOff>169332</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B249DB4C-90C8-45B2-849D-C9703DB9FE2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997200" y="9186334"/>
              <a:ext cx="3285067" cy="29802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355600</xdr:colOff>
      <xdr:row>47</xdr:row>
      <xdr:rowOff>140908</xdr:rowOff>
    </xdr:from>
    <xdr:to>
      <xdr:col>11</xdr:col>
      <xdr:colOff>787401</xdr:colOff>
      <xdr:row>63</xdr:row>
      <xdr:rowOff>163285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6230E8A5-A2CE-45D8-9611-1FE7006FD28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578600" y="9157908"/>
              <a:ext cx="3318934" cy="30026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84666</xdr:colOff>
      <xdr:row>47</xdr:row>
      <xdr:rowOff>185541</xdr:rowOff>
    </xdr:from>
    <xdr:to>
      <xdr:col>17</xdr:col>
      <xdr:colOff>146595</xdr:colOff>
      <xdr:row>63</xdr:row>
      <xdr:rowOff>169332</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4F11086F-424B-4278-B746-9278DD646B0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202333" y="9202541"/>
              <a:ext cx="3126862" cy="29640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8</xdr:col>
      <xdr:colOff>601980</xdr:colOff>
      <xdr:row>7</xdr:row>
      <xdr:rowOff>289560</xdr:rowOff>
    </xdr:from>
    <xdr:ext cx="184731" cy="264560"/>
    <xdr:sp macro="" textlink="">
      <xdr:nvSpPr>
        <xdr:cNvPr id="5" name="TextBox 4">
          <a:extLst>
            <a:ext uri="{FF2B5EF4-FFF2-40B4-BE49-F238E27FC236}">
              <a16:creationId xmlns:a16="http://schemas.microsoft.com/office/drawing/2014/main" id="{3D32FB8B-F2FE-69DC-D487-ADBE39297592}"/>
            </a:ext>
          </a:extLst>
        </xdr:cNvPr>
        <xdr:cNvSpPr txBox="1"/>
      </xdr:nvSpPr>
      <xdr:spPr>
        <a:xfrm>
          <a:off x="8305800" y="883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4</xdr:col>
      <xdr:colOff>160869</xdr:colOff>
      <xdr:row>9</xdr:row>
      <xdr:rowOff>116839</xdr:rowOff>
    </xdr:from>
    <xdr:to>
      <xdr:col>9</xdr:col>
      <xdr:colOff>863602</xdr:colOff>
      <xdr:row>24</xdr:row>
      <xdr:rowOff>59266</xdr:rowOff>
    </xdr:to>
    <xdr:graphicFrame macro="">
      <xdr:nvGraphicFramePr>
        <xdr:cNvPr id="6" name="Chart 5">
          <a:extLst>
            <a:ext uri="{FF2B5EF4-FFF2-40B4-BE49-F238E27FC236}">
              <a16:creationId xmlns:a16="http://schemas.microsoft.com/office/drawing/2014/main" id="{E1E17541-2E75-437E-9D0D-7763C9A97F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135466</xdr:colOff>
      <xdr:row>25</xdr:row>
      <xdr:rowOff>163407</xdr:rowOff>
    </xdr:from>
    <xdr:to>
      <xdr:col>9</xdr:col>
      <xdr:colOff>872066</xdr:colOff>
      <xdr:row>46</xdr:row>
      <xdr:rowOff>26671</xdr:rowOff>
    </xdr:to>
    <xdr:graphicFrame macro="">
      <xdr:nvGraphicFramePr>
        <xdr:cNvPr id="7" name="Chart 6">
          <a:extLst>
            <a:ext uri="{FF2B5EF4-FFF2-40B4-BE49-F238E27FC236}">
              <a16:creationId xmlns:a16="http://schemas.microsoft.com/office/drawing/2014/main" id="{0DDD6ABF-3BF1-4360-901B-AE6C19BAB0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110065</xdr:colOff>
      <xdr:row>9</xdr:row>
      <xdr:rowOff>126999</xdr:rowOff>
    </xdr:from>
    <xdr:to>
      <xdr:col>17</xdr:col>
      <xdr:colOff>118533</xdr:colOff>
      <xdr:row>24</xdr:row>
      <xdr:rowOff>88295</xdr:rowOff>
    </xdr:to>
    <xdr:graphicFrame macro="">
      <xdr:nvGraphicFramePr>
        <xdr:cNvPr id="8" name="Chart 7">
          <a:extLst>
            <a:ext uri="{FF2B5EF4-FFF2-40B4-BE49-F238E27FC236}">
              <a16:creationId xmlns:a16="http://schemas.microsoft.com/office/drawing/2014/main" id="{8A5F6EC0-C71A-4CF8-AFB8-81A486275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135466</xdr:colOff>
      <xdr:row>25</xdr:row>
      <xdr:rowOff>168125</xdr:rowOff>
    </xdr:from>
    <xdr:to>
      <xdr:col>17</xdr:col>
      <xdr:colOff>127000</xdr:colOff>
      <xdr:row>46</xdr:row>
      <xdr:rowOff>25401</xdr:rowOff>
    </xdr:to>
    <xdr:graphicFrame macro="">
      <xdr:nvGraphicFramePr>
        <xdr:cNvPr id="9" name="Chart 8">
          <a:extLst>
            <a:ext uri="{FF2B5EF4-FFF2-40B4-BE49-F238E27FC236}">
              <a16:creationId xmlns:a16="http://schemas.microsoft.com/office/drawing/2014/main" id="{39D76907-89B4-4212-A0B5-E8DDEB259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4</xdr:col>
      <xdr:colOff>127000</xdr:colOff>
      <xdr:row>47</xdr:row>
      <xdr:rowOff>169334</xdr:rowOff>
    </xdr:from>
    <xdr:ext cx="3285067" cy="3047998"/>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4C3B5F31-522D-4A63-963D-FEFE9BBD482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997200" y="9186334"/>
              <a:ext cx="3285067" cy="30479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8</xdr:col>
      <xdr:colOff>355600</xdr:colOff>
      <xdr:row>47</xdr:row>
      <xdr:rowOff>140908</xdr:rowOff>
    </xdr:from>
    <xdr:ext cx="3327401" cy="3070377"/>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8CEE55B7-5913-4A83-BB8C-E82AFA35168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578600" y="9157908"/>
              <a:ext cx="3327401" cy="30703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12</xdr:col>
      <xdr:colOff>84666</xdr:colOff>
      <xdr:row>47</xdr:row>
      <xdr:rowOff>185541</xdr:rowOff>
    </xdr:from>
    <xdr:ext cx="3128979" cy="3031791"/>
    <mc:AlternateContent xmlns:mc="http://schemas.openxmlformats.org/markup-compatibility/2006" xmlns:a14="http://schemas.microsoft.com/office/drawing/2010/main">
      <mc:Choice Requires="a14">
        <xdr:graphicFrame macro="">
          <xdr:nvGraphicFramePr>
            <xdr:cNvPr id="12" name="Year 1">
              <a:extLst>
                <a:ext uri="{FF2B5EF4-FFF2-40B4-BE49-F238E27FC236}">
                  <a16:creationId xmlns:a16="http://schemas.microsoft.com/office/drawing/2014/main" id="{AB937945-FC0D-4B05-9261-BB154C4BADA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202333" y="9202541"/>
              <a:ext cx="3128979" cy="30317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8</xdr:col>
      <xdr:colOff>601980</xdr:colOff>
      <xdr:row>7</xdr:row>
      <xdr:rowOff>289560</xdr:rowOff>
    </xdr:from>
    <xdr:ext cx="184731" cy="264560"/>
    <xdr:sp macro="" textlink="">
      <xdr:nvSpPr>
        <xdr:cNvPr id="13" name="TextBox 12">
          <a:extLst>
            <a:ext uri="{FF2B5EF4-FFF2-40B4-BE49-F238E27FC236}">
              <a16:creationId xmlns:a16="http://schemas.microsoft.com/office/drawing/2014/main" id="{F1D0D7CF-5C36-4D14-9705-649A84C65492}"/>
            </a:ext>
          </a:extLst>
        </xdr:cNvPr>
        <xdr:cNvSpPr txBox="1"/>
      </xdr:nvSpPr>
      <xdr:spPr>
        <a:xfrm>
          <a:off x="6812280" y="1592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4</xdr:col>
      <xdr:colOff>160869</xdr:colOff>
      <xdr:row>9</xdr:row>
      <xdr:rowOff>116839</xdr:rowOff>
    </xdr:from>
    <xdr:to>
      <xdr:col>9</xdr:col>
      <xdr:colOff>863602</xdr:colOff>
      <xdr:row>24</xdr:row>
      <xdr:rowOff>59266</xdr:rowOff>
    </xdr:to>
    <xdr:graphicFrame macro="">
      <xdr:nvGraphicFramePr>
        <xdr:cNvPr id="14" name="Chart 13">
          <a:extLst>
            <a:ext uri="{FF2B5EF4-FFF2-40B4-BE49-F238E27FC236}">
              <a16:creationId xmlns:a16="http://schemas.microsoft.com/office/drawing/2014/main" id="{C3378886-DE2B-4FB0-B119-DE95B9257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135466</xdr:colOff>
      <xdr:row>25</xdr:row>
      <xdr:rowOff>163407</xdr:rowOff>
    </xdr:from>
    <xdr:to>
      <xdr:col>9</xdr:col>
      <xdr:colOff>872066</xdr:colOff>
      <xdr:row>46</xdr:row>
      <xdr:rowOff>26671</xdr:rowOff>
    </xdr:to>
    <xdr:graphicFrame macro="">
      <xdr:nvGraphicFramePr>
        <xdr:cNvPr id="15" name="Chart 14">
          <a:extLst>
            <a:ext uri="{FF2B5EF4-FFF2-40B4-BE49-F238E27FC236}">
              <a16:creationId xmlns:a16="http://schemas.microsoft.com/office/drawing/2014/main" id="{355716D2-268C-4699-9B0F-61535BF77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110065</xdr:colOff>
      <xdr:row>9</xdr:row>
      <xdr:rowOff>126999</xdr:rowOff>
    </xdr:from>
    <xdr:to>
      <xdr:col>17</xdr:col>
      <xdr:colOff>118533</xdr:colOff>
      <xdr:row>24</xdr:row>
      <xdr:rowOff>88295</xdr:rowOff>
    </xdr:to>
    <xdr:graphicFrame macro="">
      <xdr:nvGraphicFramePr>
        <xdr:cNvPr id="16" name="Chart 15">
          <a:extLst>
            <a:ext uri="{FF2B5EF4-FFF2-40B4-BE49-F238E27FC236}">
              <a16:creationId xmlns:a16="http://schemas.microsoft.com/office/drawing/2014/main" id="{AFD58483-1B17-4F78-8B45-223DFED36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135466</xdr:colOff>
      <xdr:row>25</xdr:row>
      <xdr:rowOff>168125</xdr:rowOff>
    </xdr:from>
    <xdr:to>
      <xdr:col>17</xdr:col>
      <xdr:colOff>127000</xdr:colOff>
      <xdr:row>46</xdr:row>
      <xdr:rowOff>25401</xdr:rowOff>
    </xdr:to>
    <xdr:graphicFrame macro="">
      <xdr:nvGraphicFramePr>
        <xdr:cNvPr id="17" name="Chart 16">
          <a:extLst>
            <a:ext uri="{FF2B5EF4-FFF2-40B4-BE49-F238E27FC236}">
              <a16:creationId xmlns:a16="http://schemas.microsoft.com/office/drawing/2014/main" id="{BFC018D4-BD7B-4DE6-A235-56C42F9CD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4</xdr:col>
      <xdr:colOff>127000</xdr:colOff>
      <xdr:row>47</xdr:row>
      <xdr:rowOff>169334</xdr:rowOff>
    </xdr:from>
    <xdr:ext cx="3285067" cy="3047998"/>
    <mc:AlternateContent xmlns:mc="http://schemas.openxmlformats.org/markup-compatibility/2006" xmlns:a14="http://schemas.microsoft.com/office/drawing/2010/main">
      <mc:Choice Requires="a14">
        <xdr:graphicFrame macro="">
          <xdr:nvGraphicFramePr>
            <xdr:cNvPr id="98" name="Region 2">
              <a:extLst>
                <a:ext uri="{FF2B5EF4-FFF2-40B4-BE49-F238E27FC236}">
                  <a16:creationId xmlns:a16="http://schemas.microsoft.com/office/drawing/2014/main" id="{7A487217-7D9B-4BBF-A115-2681F42DF8A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997200" y="9186334"/>
              <a:ext cx="3285067" cy="30479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8</xdr:col>
      <xdr:colOff>355600</xdr:colOff>
      <xdr:row>47</xdr:row>
      <xdr:rowOff>140908</xdr:rowOff>
    </xdr:from>
    <xdr:ext cx="3327401" cy="3070377"/>
    <mc:AlternateContent xmlns:mc="http://schemas.openxmlformats.org/markup-compatibility/2006" xmlns:a14="http://schemas.microsoft.com/office/drawing/2010/main">
      <mc:Choice Requires="a14">
        <xdr:graphicFrame macro="">
          <xdr:nvGraphicFramePr>
            <xdr:cNvPr id="99" name="Category 2">
              <a:extLst>
                <a:ext uri="{FF2B5EF4-FFF2-40B4-BE49-F238E27FC236}">
                  <a16:creationId xmlns:a16="http://schemas.microsoft.com/office/drawing/2014/main" id="{90CBCC6E-5B27-4888-BC2B-96F431D9C8BC}"/>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6578600" y="9157908"/>
              <a:ext cx="3327401" cy="30703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12</xdr:col>
      <xdr:colOff>84666</xdr:colOff>
      <xdr:row>47</xdr:row>
      <xdr:rowOff>185541</xdr:rowOff>
    </xdr:from>
    <xdr:ext cx="3128979" cy="3031791"/>
    <mc:AlternateContent xmlns:mc="http://schemas.openxmlformats.org/markup-compatibility/2006" xmlns:a14="http://schemas.microsoft.com/office/drawing/2010/main">
      <mc:Choice Requires="a14">
        <xdr:graphicFrame macro="">
          <xdr:nvGraphicFramePr>
            <xdr:cNvPr id="100" name="Year 2">
              <a:extLst>
                <a:ext uri="{FF2B5EF4-FFF2-40B4-BE49-F238E27FC236}">
                  <a16:creationId xmlns:a16="http://schemas.microsoft.com/office/drawing/2014/main" id="{08D9791F-704A-4BA6-B234-949ACD43D089}"/>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0202333" y="9202541"/>
              <a:ext cx="3128979" cy="30317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8</xdr:col>
      <xdr:colOff>601980</xdr:colOff>
      <xdr:row>7</xdr:row>
      <xdr:rowOff>289560</xdr:rowOff>
    </xdr:from>
    <xdr:ext cx="184731" cy="264560"/>
    <xdr:sp macro="" textlink="">
      <xdr:nvSpPr>
        <xdr:cNvPr id="101" name="TextBox 100">
          <a:extLst>
            <a:ext uri="{FF2B5EF4-FFF2-40B4-BE49-F238E27FC236}">
              <a16:creationId xmlns:a16="http://schemas.microsoft.com/office/drawing/2014/main" id="{6625E8E9-E636-4D9E-970E-2E8B4DB7DC14}"/>
            </a:ext>
          </a:extLst>
        </xdr:cNvPr>
        <xdr:cNvSpPr txBox="1"/>
      </xdr:nvSpPr>
      <xdr:spPr>
        <a:xfrm>
          <a:off x="6812280" y="1592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4</xdr:col>
      <xdr:colOff>160869</xdr:colOff>
      <xdr:row>9</xdr:row>
      <xdr:rowOff>116839</xdr:rowOff>
    </xdr:from>
    <xdr:to>
      <xdr:col>9</xdr:col>
      <xdr:colOff>863602</xdr:colOff>
      <xdr:row>24</xdr:row>
      <xdr:rowOff>59266</xdr:rowOff>
    </xdr:to>
    <xdr:graphicFrame macro="">
      <xdr:nvGraphicFramePr>
        <xdr:cNvPr id="102" name="Chart 101">
          <a:extLst>
            <a:ext uri="{FF2B5EF4-FFF2-40B4-BE49-F238E27FC236}">
              <a16:creationId xmlns:a16="http://schemas.microsoft.com/office/drawing/2014/main" id="{96B5B4DB-301E-4000-AC2D-1CBAF44B6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135466</xdr:colOff>
      <xdr:row>25</xdr:row>
      <xdr:rowOff>163407</xdr:rowOff>
    </xdr:from>
    <xdr:to>
      <xdr:col>9</xdr:col>
      <xdr:colOff>872066</xdr:colOff>
      <xdr:row>46</xdr:row>
      <xdr:rowOff>26671</xdr:rowOff>
    </xdr:to>
    <xdr:graphicFrame macro="">
      <xdr:nvGraphicFramePr>
        <xdr:cNvPr id="103" name="Chart 102">
          <a:extLst>
            <a:ext uri="{FF2B5EF4-FFF2-40B4-BE49-F238E27FC236}">
              <a16:creationId xmlns:a16="http://schemas.microsoft.com/office/drawing/2014/main" id="{D9BE8362-D978-4CD9-A7C0-A8F87B9EC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110065</xdr:colOff>
      <xdr:row>9</xdr:row>
      <xdr:rowOff>126999</xdr:rowOff>
    </xdr:from>
    <xdr:to>
      <xdr:col>17</xdr:col>
      <xdr:colOff>118533</xdr:colOff>
      <xdr:row>24</xdr:row>
      <xdr:rowOff>88295</xdr:rowOff>
    </xdr:to>
    <xdr:graphicFrame macro="">
      <xdr:nvGraphicFramePr>
        <xdr:cNvPr id="104" name="Chart 103">
          <a:extLst>
            <a:ext uri="{FF2B5EF4-FFF2-40B4-BE49-F238E27FC236}">
              <a16:creationId xmlns:a16="http://schemas.microsoft.com/office/drawing/2014/main" id="{FD202BA6-1EA7-420C-AC6F-15CB0F69E5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135466</xdr:colOff>
      <xdr:row>25</xdr:row>
      <xdr:rowOff>168125</xdr:rowOff>
    </xdr:from>
    <xdr:to>
      <xdr:col>17</xdr:col>
      <xdr:colOff>127000</xdr:colOff>
      <xdr:row>46</xdr:row>
      <xdr:rowOff>25401</xdr:rowOff>
    </xdr:to>
    <xdr:graphicFrame macro="">
      <xdr:nvGraphicFramePr>
        <xdr:cNvPr id="105" name="Chart 104">
          <a:extLst>
            <a:ext uri="{FF2B5EF4-FFF2-40B4-BE49-F238E27FC236}">
              <a16:creationId xmlns:a16="http://schemas.microsoft.com/office/drawing/2014/main" id="{4F9CC5ED-422C-4FA9-BA03-4C929FA1E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4</xdr:col>
      <xdr:colOff>127000</xdr:colOff>
      <xdr:row>47</xdr:row>
      <xdr:rowOff>169334</xdr:rowOff>
    </xdr:from>
    <xdr:ext cx="3285067" cy="3047998"/>
    <mc:AlternateContent xmlns:mc="http://schemas.openxmlformats.org/markup-compatibility/2006" xmlns:a14="http://schemas.microsoft.com/office/drawing/2010/main">
      <mc:Choice Requires="a14">
        <xdr:graphicFrame macro="">
          <xdr:nvGraphicFramePr>
            <xdr:cNvPr id="106" name="Region 3">
              <a:extLst>
                <a:ext uri="{FF2B5EF4-FFF2-40B4-BE49-F238E27FC236}">
                  <a16:creationId xmlns:a16="http://schemas.microsoft.com/office/drawing/2014/main" id="{1257AFAB-E405-4C99-ADE0-EE389C67B0C3}"/>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2997200" y="9186334"/>
              <a:ext cx="3285067" cy="30479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8</xdr:col>
      <xdr:colOff>355600</xdr:colOff>
      <xdr:row>47</xdr:row>
      <xdr:rowOff>140908</xdr:rowOff>
    </xdr:from>
    <xdr:ext cx="3327401" cy="3070377"/>
    <mc:AlternateContent xmlns:mc="http://schemas.openxmlformats.org/markup-compatibility/2006" xmlns:a14="http://schemas.microsoft.com/office/drawing/2010/main">
      <mc:Choice Requires="a14">
        <xdr:graphicFrame macro="">
          <xdr:nvGraphicFramePr>
            <xdr:cNvPr id="107" name="Category 3">
              <a:extLst>
                <a:ext uri="{FF2B5EF4-FFF2-40B4-BE49-F238E27FC236}">
                  <a16:creationId xmlns:a16="http://schemas.microsoft.com/office/drawing/2014/main" id="{E57C132E-B447-4B98-8099-8402322C72B0}"/>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6578600" y="9157908"/>
              <a:ext cx="3327401" cy="30703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12</xdr:col>
      <xdr:colOff>84666</xdr:colOff>
      <xdr:row>47</xdr:row>
      <xdr:rowOff>185541</xdr:rowOff>
    </xdr:from>
    <xdr:ext cx="3128979" cy="3031791"/>
    <mc:AlternateContent xmlns:mc="http://schemas.openxmlformats.org/markup-compatibility/2006" xmlns:a14="http://schemas.microsoft.com/office/drawing/2010/main">
      <mc:Choice Requires="a14">
        <xdr:graphicFrame macro="">
          <xdr:nvGraphicFramePr>
            <xdr:cNvPr id="108" name="Year 3">
              <a:extLst>
                <a:ext uri="{FF2B5EF4-FFF2-40B4-BE49-F238E27FC236}">
                  <a16:creationId xmlns:a16="http://schemas.microsoft.com/office/drawing/2014/main" id="{75502787-A8D2-4896-9BE6-06107A41B3E7}"/>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0202333" y="9202541"/>
              <a:ext cx="3128979" cy="30317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8</xdr:col>
      <xdr:colOff>601980</xdr:colOff>
      <xdr:row>7</xdr:row>
      <xdr:rowOff>289560</xdr:rowOff>
    </xdr:from>
    <xdr:ext cx="184731" cy="264560"/>
    <xdr:sp macro="" textlink="">
      <xdr:nvSpPr>
        <xdr:cNvPr id="109" name="TextBox 108">
          <a:extLst>
            <a:ext uri="{FF2B5EF4-FFF2-40B4-BE49-F238E27FC236}">
              <a16:creationId xmlns:a16="http://schemas.microsoft.com/office/drawing/2014/main" id="{51467AFF-B362-4812-BF83-FA656E783239}"/>
            </a:ext>
          </a:extLst>
        </xdr:cNvPr>
        <xdr:cNvSpPr txBox="1"/>
      </xdr:nvSpPr>
      <xdr:spPr>
        <a:xfrm>
          <a:off x="6812280" y="1592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4</xdr:col>
      <xdr:colOff>160869</xdr:colOff>
      <xdr:row>9</xdr:row>
      <xdr:rowOff>116839</xdr:rowOff>
    </xdr:from>
    <xdr:to>
      <xdr:col>9</xdr:col>
      <xdr:colOff>863602</xdr:colOff>
      <xdr:row>24</xdr:row>
      <xdr:rowOff>59266</xdr:rowOff>
    </xdr:to>
    <xdr:graphicFrame macro="">
      <xdr:nvGraphicFramePr>
        <xdr:cNvPr id="110" name="Chart 109">
          <a:extLst>
            <a:ext uri="{FF2B5EF4-FFF2-40B4-BE49-F238E27FC236}">
              <a16:creationId xmlns:a16="http://schemas.microsoft.com/office/drawing/2014/main" id="{312D924A-E9EA-4521-B088-9D5B59C0A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135466</xdr:colOff>
      <xdr:row>25</xdr:row>
      <xdr:rowOff>163407</xdr:rowOff>
    </xdr:from>
    <xdr:to>
      <xdr:col>9</xdr:col>
      <xdr:colOff>872066</xdr:colOff>
      <xdr:row>46</xdr:row>
      <xdr:rowOff>26671</xdr:rowOff>
    </xdr:to>
    <xdr:graphicFrame macro="">
      <xdr:nvGraphicFramePr>
        <xdr:cNvPr id="111" name="Chart 110">
          <a:extLst>
            <a:ext uri="{FF2B5EF4-FFF2-40B4-BE49-F238E27FC236}">
              <a16:creationId xmlns:a16="http://schemas.microsoft.com/office/drawing/2014/main" id="{D010AEA8-56F3-46E7-8F6F-789F3DB58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110065</xdr:colOff>
      <xdr:row>9</xdr:row>
      <xdr:rowOff>126999</xdr:rowOff>
    </xdr:from>
    <xdr:to>
      <xdr:col>17</xdr:col>
      <xdr:colOff>118533</xdr:colOff>
      <xdr:row>24</xdr:row>
      <xdr:rowOff>88295</xdr:rowOff>
    </xdr:to>
    <xdr:graphicFrame macro="">
      <xdr:nvGraphicFramePr>
        <xdr:cNvPr id="112" name="Chart 111">
          <a:extLst>
            <a:ext uri="{FF2B5EF4-FFF2-40B4-BE49-F238E27FC236}">
              <a16:creationId xmlns:a16="http://schemas.microsoft.com/office/drawing/2014/main" id="{8707E566-1A66-44C8-B25F-4420634FA7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135466</xdr:colOff>
      <xdr:row>25</xdr:row>
      <xdr:rowOff>168125</xdr:rowOff>
    </xdr:from>
    <xdr:to>
      <xdr:col>17</xdr:col>
      <xdr:colOff>127000</xdr:colOff>
      <xdr:row>46</xdr:row>
      <xdr:rowOff>25401</xdr:rowOff>
    </xdr:to>
    <xdr:graphicFrame macro="">
      <xdr:nvGraphicFramePr>
        <xdr:cNvPr id="113" name="Chart 112">
          <a:extLst>
            <a:ext uri="{FF2B5EF4-FFF2-40B4-BE49-F238E27FC236}">
              <a16:creationId xmlns:a16="http://schemas.microsoft.com/office/drawing/2014/main" id="{92BB0FB1-2A50-4624-83FE-9E6AE7552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ETHA RAJAGOPAL" refreshedDate="46145.739012384256" createdVersion="8" refreshedVersion="8" minRefreshableVersion="3" recordCount="40" xr:uid="{0EE977C6-3DF5-4DE2-AB17-3D53E109CF9C}">
  <cacheSource type="worksheet">
    <worksheetSource name="Table1"/>
  </cacheSource>
  <cacheFields count="11">
    <cacheField name="Order ID" numFmtId="0">
      <sharedItems containsSemiMixedTypes="0" containsString="0" containsNumber="1" containsInteger="1" minValue="1001" maxValue="1040"/>
    </cacheField>
    <cacheField name="Date" numFmtId="14">
      <sharedItems containsSemiMixedTypes="0" containsNonDate="0" containsDate="1" containsString="0" minDate="2024-01-01T00:00:00" maxDate="2024-02-10T00:00:00"/>
    </cacheField>
    <cacheField name="Region" numFmtId="0">
      <sharedItems count="4">
        <s v="South"/>
        <s v="North"/>
        <s v="West"/>
        <s v="East"/>
      </sharedItems>
    </cacheField>
    <cacheField name="Category" numFmtId="0">
      <sharedItems count="3">
        <s v="Furniture"/>
        <s v="Electronics"/>
        <s v="Office Supplies"/>
      </sharedItems>
    </cacheField>
    <cacheField name="Product" numFmtId="0">
      <sharedItems count="19">
        <s v="Chair"/>
        <s v="Laptop"/>
        <s v="Pen"/>
        <s v="Table"/>
        <s v="Mobile"/>
        <s v="Notebook"/>
        <s v="Sofa"/>
        <s v="Headphones"/>
        <s v="Marker"/>
        <s v="Bed"/>
        <s v="Tablet"/>
        <s v="Stapler"/>
        <s v="Desk"/>
        <s v="Monitor"/>
        <s v="File"/>
        <s v="Cupboard"/>
        <s v="Smartwatch"/>
        <s v="Envelope"/>
        <s v="Camera"/>
      </sharedItems>
    </cacheField>
    <cacheField name="Sales" numFmtId="0">
      <sharedItems containsSemiMixedTypes="0" containsString="0" containsNumber="1" containsInteger="1" minValue="400" maxValue="47000"/>
    </cacheField>
    <cacheField name="Quantity" numFmtId="0">
      <sharedItems containsSemiMixedTypes="0" containsString="0" containsNumber="1" containsInteger="1" minValue="1" maxValue="20"/>
    </cacheField>
    <cacheField name="Profit" numFmtId="0">
      <sharedItems containsSemiMixedTypes="0" containsString="0" containsNumber="1" containsInteger="1" minValue="100" maxValue="6500"/>
    </cacheField>
    <cacheField name="Customer" numFmtId="0">
      <sharedItems/>
    </cacheField>
    <cacheField name="Month" numFmtId="0">
      <sharedItems count="2">
        <s v="Jan"/>
        <s v="Feb"/>
      </sharedItems>
    </cacheField>
    <cacheField name="Year" numFmtId="0">
      <sharedItems containsSemiMixedTypes="0" containsString="0" containsNumber="1" containsInteger="1" minValue="2024" maxValue="2024" count="1">
        <n v="2024"/>
      </sharedItems>
    </cacheField>
  </cacheFields>
  <extLst>
    <ext xmlns:x14="http://schemas.microsoft.com/office/spreadsheetml/2009/9/main" uri="{725AE2AE-9491-48be-B2B4-4EB974FC3084}">
      <x14:pivotCacheDefinition pivotCacheId="1973086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n v="1001"/>
    <d v="2024-01-01T00:00:00"/>
    <x v="0"/>
    <x v="0"/>
    <x v="0"/>
    <n v="5000"/>
    <n v="2"/>
    <n v="800"/>
    <s v="ravi"/>
    <x v="0"/>
    <x v="0"/>
  </r>
  <r>
    <n v="1002"/>
    <d v="2024-01-02T00:00:00"/>
    <x v="1"/>
    <x v="1"/>
    <x v="1"/>
    <n v="45000"/>
    <n v="1"/>
    <n v="5000"/>
    <s v="Amit"/>
    <x v="0"/>
    <x v="0"/>
  </r>
  <r>
    <n v="1003"/>
    <d v="2024-01-03T00:00:00"/>
    <x v="2"/>
    <x v="2"/>
    <x v="2"/>
    <n v="500"/>
    <n v="10"/>
    <n v="150"/>
    <s v="Sneha"/>
    <x v="0"/>
    <x v="0"/>
  </r>
  <r>
    <n v="1004"/>
    <d v="2024-01-04T00:00:00"/>
    <x v="3"/>
    <x v="0"/>
    <x v="3"/>
    <n v="7000"/>
    <n v="1"/>
    <n v="1200"/>
    <s v="Kiran"/>
    <x v="0"/>
    <x v="0"/>
  </r>
  <r>
    <n v="1005"/>
    <d v="2024-01-05T00:00:00"/>
    <x v="0"/>
    <x v="1"/>
    <x v="4"/>
    <n v="20000"/>
    <n v="2"/>
    <n v="3000"/>
    <s v="Divya"/>
    <x v="0"/>
    <x v="0"/>
  </r>
  <r>
    <n v="1006"/>
    <d v="2024-01-06T00:00:00"/>
    <x v="1"/>
    <x v="2"/>
    <x v="5"/>
    <n v="1500"/>
    <n v="5"/>
    <n v="400"/>
    <s v="Rahul"/>
    <x v="0"/>
    <x v="0"/>
  </r>
  <r>
    <n v="1007"/>
    <d v="2024-01-07T00:00:00"/>
    <x v="2"/>
    <x v="0"/>
    <x v="6"/>
    <n v="25000"/>
    <n v="1"/>
    <n v="4000"/>
    <s v="Anjali"/>
    <x v="0"/>
    <x v="0"/>
  </r>
  <r>
    <n v="1008"/>
    <d v="2024-01-08T00:00:00"/>
    <x v="3"/>
    <x v="1"/>
    <x v="7"/>
    <n v="3000"/>
    <n v="3"/>
    <n v="800"/>
    <s v="Arun"/>
    <x v="0"/>
    <x v="0"/>
  </r>
  <r>
    <n v="1009"/>
    <d v="2024-01-09T00:00:00"/>
    <x v="0"/>
    <x v="2"/>
    <x v="8"/>
    <n v="700"/>
    <n v="7"/>
    <n v="200"/>
    <s v="Pooja"/>
    <x v="0"/>
    <x v="0"/>
  </r>
  <r>
    <n v="1010"/>
    <d v="2024-01-10T00:00:00"/>
    <x v="1"/>
    <x v="0"/>
    <x v="9"/>
    <n v="30000"/>
    <n v="1"/>
    <n v="6000"/>
    <s v="Vikram"/>
    <x v="0"/>
    <x v="0"/>
  </r>
  <r>
    <n v="1011"/>
    <d v="2024-01-11T00:00:00"/>
    <x v="2"/>
    <x v="1"/>
    <x v="10"/>
    <n v="15000"/>
    <n v="1"/>
    <n v="2500"/>
    <s v="Neha"/>
    <x v="0"/>
    <x v="0"/>
  </r>
  <r>
    <n v="1012"/>
    <d v="2024-01-12T00:00:00"/>
    <x v="3"/>
    <x v="2"/>
    <x v="11"/>
    <n v="1200"/>
    <n v="2"/>
    <n v="300"/>
    <s v="Manoj"/>
    <x v="0"/>
    <x v="0"/>
  </r>
  <r>
    <n v="1013"/>
    <d v="2024-01-13T00:00:00"/>
    <x v="0"/>
    <x v="0"/>
    <x v="12"/>
    <n v="1500"/>
    <n v="1"/>
    <n v="1500"/>
    <s v="Suresh"/>
    <x v="0"/>
    <x v="0"/>
  </r>
  <r>
    <n v="1014"/>
    <d v="2024-01-14T00:00:00"/>
    <x v="1"/>
    <x v="1"/>
    <x v="13"/>
    <n v="12000"/>
    <n v="2"/>
    <n v="2000"/>
    <s v="Kavya"/>
    <x v="0"/>
    <x v="0"/>
  </r>
  <r>
    <n v="1015"/>
    <d v="2024-01-15T00:00:00"/>
    <x v="2"/>
    <x v="2"/>
    <x v="14"/>
    <n v="600"/>
    <n v="6"/>
    <n v="180"/>
    <s v="Meena"/>
    <x v="0"/>
    <x v="0"/>
  </r>
  <r>
    <n v="1016"/>
    <d v="2024-01-16T00:00:00"/>
    <x v="3"/>
    <x v="0"/>
    <x v="15"/>
    <n v="20000"/>
    <n v="1"/>
    <n v="3500"/>
    <s v="Ramesh"/>
    <x v="0"/>
    <x v="0"/>
  </r>
  <r>
    <n v="1017"/>
    <d v="2024-01-17T00:00:00"/>
    <x v="0"/>
    <x v="1"/>
    <x v="16"/>
    <n v="7000"/>
    <n v="2"/>
    <n v="1200"/>
    <s v="Asha"/>
    <x v="0"/>
    <x v="0"/>
  </r>
  <r>
    <n v="1018"/>
    <d v="2024-01-18T00:00:00"/>
    <x v="1"/>
    <x v="2"/>
    <x v="17"/>
    <n v="400"/>
    <n v="20"/>
    <n v="100"/>
    <s v="Deepak"/>
    <x v="0"/>
    <x v="0"/>
  </r>
  <r>
    <n v="1019"/>
    <d v="2024-01-19T00:00:00"/>
    <x v="2"/>
    <x v="0"/>
    <x v="0"/>
    <n v="5500"/>
    <n v="2"/>
    <n v="900"/>
    <s v="Swathi"/>
    <x v="0"/>
    <x v="0"/>
  </r>
  <r>
    <n v="1020"/>
    <d v="2024-01-20T00:00:00"/>
    <x v="3"/>
    <x v="1"/>
    <x v="18"/>
    <n v="25000"/>
    <n v="1"/>
    <n v="4500"/>
    <s v="Naveen"/>
    <x v="0"/>
    <x v="0"/>
  </r>
  <r>
    <n v="1021"/>
    <d v="2024-01-21T00:00:00"/>
    <x v="0"/>
    <x v="2"/>
    <x v="2"/>
    <n v="800"/>
    <n v="12"/>
    <n v="250"/>
    <s v="ravi"/>
    <x v="0"/>
    <x v="0"/>
  </r>
  <r>
    <n v="1022"/>
    <d v="2024-01-22T00:00:00"/>
    <x v="1"/>
    <x v="0"/>
    <x v="3"/>
    <n v="7500"/>
    <n v="1"/>
    <n v="1300"/>
    <s v="Amit"/>
    <x v="0"/>
    <x v="0"/>
  </r>
  <r>
    <n v="1023"/>
    <d v="2024-01-23T00:00:00"/>
    <x v="2"/>
    <x v="1"/>
    <x v="1"/>
    <n v="47000"/>
    <n v="1"/>
    <n v="5500"/>
    <s v="Sneha"/>
    <x v="0"/>
    <x v="0"/>
  </r>
  <r>
    <n v="1024"/>
    <d v="2024-01-24T00:00:00"/>
    <x v="3"/>
    <x v="2"/>
    <x v="5"/>
    <n v="1800"/>
    <n v="4"/>
    <n v="500"/>
    <s v="Kiran"/>
    <x v="0"/>
    <x v="0"/>
  </r>
  <r>
    <n v="1025"/>
    <d v="2024-01-25T00:00:00"/>
    <x v="0"/>
    <x v="0"/>
    <x v="6"/>
    <n v="27000"/>
    <n v="1"/>
    <n v="4200"/>
    <s v="Divya"/>
    <x v="0"/>
    <x v="0"/>
  </r>
  <r>
    <n v="1026"/>
    <d v="2024-01-26T00:00:00"/>
    <x v="1"/>
    <x v="1"/>
    <x v="4"/>
    <n v="22000"/>
    <n v="2"/>
    <n v="3200"/>
    <s v="Rahul"/>
    <x v="0"/>
    <x v="0"/>
  </r>
  <r>
    <n v="1027"/>
    <d v="2024-01-27T00:00:00"/>
    <x v="2"/>
    <x v="2"/>
    <x v="8"/>
    <n v="900"/>
    <n v="8"/>
    <n v="300"/>
    <s v="Anjali"/>
    <x v="0"/>
    <x v="0"/>
  </r>
  <r>
    <n v="1028"/>
    <d v="2024-01-28T00:00:00"/>
    <x v="3"/>
    <x v="0"/>
    <x v="9"/>
    <n v="32000"/>
    <n v="1"/>
    <n v="6500"/>
    <s v="Arun"/>
    <x v="0"/>
    <x v="0"/>
  </r>
  <r>
    <n v="1029"/>
    <d v="2024-01-29T00:00:00"/>
    <x v="0"/>
    <x v="1"/>
    <x v="10"/>
    <n v="16000"/>
    <n v="1"/>
    <n v="2600"/>
    <s v="Pooja"/>
    <x v="0"/>
    <x v="0"/>
  </r>
  <r>
    <n v="1030"/>
    <d v="2024-01-30T00:00:00"/>
    <x v="1"/>
    <x v="2"/>
    <x v="11"/>
    <n v="1400"/>
    <n v="2"/>
    <n v="350"/>
    <s v="Vikram"/>
    <x v="0"/>
    <x v="0"/>
  </r>
  <r>
    <n v="1031"/>
    <d v="2024-01-31T00:00:00"/>
    <x v="2"/>
    <x v="0"/>
    <x v="12"/>
    <n v="8500"/>
    <n v="1"/>
    <n v="1700"/>
    <s v="Neha"/>
    <x v="0"/>
    <x v="0"/>
  </r>
  <r>
    <n v="1032"/>
    <d v="2024-02-01T00:00:00"/>
    <x v="3"/>
    <x v="1"/>
    <x v="13"/>
    <n v="13000"/>
    <n v="2"/>
    <n v="2100"/>
    <s v="Manoj"/>
    <x v="1"/>
    <x v="0"/>
  </r>
  <r>
    <n v="1033"/>
    <d v="2024-02-02T00:00:00"/>
    <x v="0"/>
    <x v="2"/>
    <x v="14"/>
    <n v="700"/>
    <n v="5"/>
    <n v="200"/>
    <s v="Suresh"/>
    <x v="1"/>
    <x v="0"/>
  </r>
  <r>
    <n v="1034"/>
    <d v="2024-02-03T00:00:00"/>
    <x v="1"/>
    <x v="0"/>
    <x v="15"/>
    <n v="21000"/>
    <n v="1"/>
    <n v="3600"/>
    <s v="Kavya"/>
    <x v="1"/>
    <x v="0"/>
  </r>
  <r>
    <n v="1035"/>
    <d v="2024-02-04T00:00:00"/>
    <x v="2"/>
    <x v="1"/>
    <x v="16"/>
    <n v="7500"/>
    <n v="2"/>
    <n v="1300"/>
    <s v="Meena"/>
    <x v="1"/>
    <x v="0"/>
  </r>
  <r>
    <n v="1036"/>
    <d v="2024-02-05T00:00:00"/>
    <x v="3"/>
    <x v="2"/>
    <x v="17"/>
    <n v="500"/>
    <n v="18"/>
    <n v="120"/>
    <s v="Ramesh"/>
    <x v="1"/>
    <x v="0"/>
  </r>
  <r>
    <n v="1037"/>
    <d v="2024-02-06T00:00:00"/>
    <x v="0"/>
    <x v="0"/>
    <x v="0"/>
    <n v="6000"/>
    <n v="2"/>
    <n v="1000"/>
    <s v="Asha"/>
    <x v="1"/>
    <x v="0"/>
  </r>
  <r>
    <n v="1038"/>
    <d v="2024-02-07T00:00:00"/>
    <x v="1"/>
    <x v="1"/>
    <x v="18"/>
    <n v="26000"/>
    <n v="1"/>
    <n v="4700"/>
    <s v="Deepak"/>
    <x v="1"/>
    <x v="0"/>
  </r>
  <r>
    <n v="1039"/>
    <d v="2024-02-08T00:00:00"/>
    <x v="2"/>
    <x v="2"/>
    <x v="2"/>
    <n v="650"/>
    <n v="9"/>
    <n v="180"/>
    <s v="Swathi"/>
    <x v="1"/>
    <x v="0"/>
  </r>
  <r>
    <n v="1040"/>
    <d v="2024-02-09T00:00:00"/>
    <x v="3"/>
    <x v="0"/>
    <x v="3"/>
    <n v="7800"/>
    <n v="1"/>
    <n v="1400"/>
    <s v="Naveen"/>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3BE8FB-9A85-45F9-9AAE-1AA598641495}" name="Sales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A3:B8" firstHeaderRow="1" firstDataRow="1" firstDataCol="1"/>
  <pivotFields count="11">
    <pivotField showAll="0"/>
    <pivotField numFmtId="14" showAll="0"/>
    <pivotField axis="axisRow" showAll="0">
      <items count="5">
        <item x="3"/>
        <item x="1"/>
        <item x="0"/>
        <item x="2"/>
        <item t="default"/>
      </items>
    </pivotField>
    <pivotField showAll="0">
      <items count="4">
        <item x="1"/>
        <item x="0"/>
        <item x="2"/>
        <item t="default"/>
      </items>
    </pivotField>
    <pivotField showAll="0"/>
    <pivotField dataField="1" showAll="0"/>
    <pivotField showAll="0"/>
    <pivotField showAll="0"/>
    <pivotField showAll="0"/>
    <pivotField showAll="0"/>
    <pivotField showAll="0">
      <items count="2">
        <item x="0"/>
        <item t="default"/>
      </items>
    </pivotField>
  </pivotFields>
  <rowFields count="1">
    <field x="2"/>
  </rowFields>
  <rowItems count="5">
    <i>
      <x/>
    </i>
    <i>
      <x v="1"/>
    </i>
    <i>
      <x v="2"/>
    </i>
    <i>
      <x v="3"/>
    </i>
    <i t="grand">
      <x/>
    </i>
  </rowItems>
  <colItems count="1">
    <i/>
  </colItems>
  <dataFields count="1">
    <dataField name="Sum of Sales" fld="5" baseField="0" baseItem="0"/>
  </dataFields>
  <chartFormats count="4">
    <chartFormat chart="18"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 chart="4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5C4C34-E5B8-4A8B-A47F-A67EB3438084}" name="Profit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0">
  <location ref="A3:B7" firstHeaderRow="1" firstDataRow="1" firstDataCol="1"/>
  <pivotFields count="11">
    <pivotField showAll="0"/>
    <pivotField numFmtId="14" showAll="0"/>
    <pivotField showAll="0">
      <items count="5">
        <item x="3"/>
        <item x="1"/>
        <item x="0"/>
        <item x="2"/>
        <item t="default"/>
      </items>
    </pivotField>
    <pivotField axis="axisRow" showAll="0">
      <items count="4">
        <item x="1"/>
        <item x="0"/>
        <item x="2"/>
        <item t="default"/>
      </items>
    </pivotField>
    <pivotField showAll="0"/>
    <pivotField showAll="0"/>
    <pivotField showAll="0"/>
    <pivotField dataField="1" showAll="0"/>
    <pivotField showAll="0"/>
    <pivotField showAll="0"/>
    <pivotField showAll="0">
      <items count="2">
        <item x="0"/>
        <item t="default"/>
      </items>
    </pivotField>
  </pivotFields>
  <rowFields count="1">
    <field x="3"/>
  </rowFields>
  <rowItems count="4">
    <i>
      <x/>
    </i>
    <i>
      <x v="1"/>
    </i>
    <i>
      <x v="2"/>
    </i>
    <i t="grand">
      <x/>
    </i>
  </rowItems>
  <colItems count="1">
    <i/>
  </colItems>
  <dataFields count="1">
    <dataField name="Sum of Profit" fld="7" baseField="0" baseItem="0"/>
  </dataFields>
  <chartFormats count="16">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3" count="1" selected="0">
            <x v="0"/>
          </reference>
        </references>
      </pivotArea>
    </chartFormat>
    <chartFormat chart="3" format="10">
      <pivotArea type="data" outline="0" fieldPosition="0">
        <references count="2">
          <reference field="4294967294" count="1" selected="0">
            <x v="0"/>
          </reference>
          <reference field="3" count="1" selected="0">
            <x v="1"/>
          </reference>
        </references>
      </pivotArea>
    </chartFormat>
    <chartFormat chart="3" format="11">
      <pivotArea type="data" outline="0" fieldPosition="0">
        <references count="2">
          <reference field="4294967294" count="1" selected="0">
            <x v="0"/>
          </reference>
          <reference field="3" count="1" selected="0">
            <x v="2"/>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3" count="1" selected="0">
            <x v="0"/>
          </reference>
        </references>
      </pivotArea>
    </chartFormat>
    <chartFormat chart="5" format="18">
      <pivotArea type="data" outline="0" fieldPosition="0">
        <references count="2">
          <reference field="4294967294" count="1" selected="0">
            <x v="0"/>
          </reference>
          <reference field="3" count="1" selected="0">
            <x v="1"/>
          </reference>
        </references>
      </pivotArea>
    </chartFormat>
    <chartFormat chart="5" format="19">
      <pivotArea type="data" outline="0" fieldPosition="0">
        <references count="2">
          <reference field="4294967294" count="1" selected="0">
            <x v="0"/>
          </reference>
          <reference field="3" count="1" selected="0">
            <x v="2"/>
          </reference>
        </references>
      </pivotArea>
    </chartFormat>
    <chartFormat chart="28" format="16" series="1">
      <pivotArea type="data" outline="0" fieldPosition="0">
        <references count="1">
          <reference field="4294967294" count="1" selected="0">
            <x v="0"/>
          </reference>
        </references>
      </pivotArea>
    </chartFormat>
    <chartFormat chart="28" format="17">
      <pivotArea type="data" outline="0" fieldPosition="0">
        <references count="2">
          <reference field="4294967294" count="1" selected="0">
            <x v="0"/>
          </reference>
          <reference field="3" count="1" selected="0">
            <x v="0"/>
          </reference>
        </references>
      </pivotArea>
    </chartFormat>
    <chartFormat chart="28" format="18">
      <pivotArea type="data" outline="0" fieldPosition="0">
        <references count="2">
          <reference field="4294967294" count="1" selected="0">
            <x v="0"/>
          </reference>
          <reference field="3" count="1" selected="0">
            <x v="1"/>
          </reference>
        </references>
      </pivotArea>
    </chartFormat>
    <chartFormat chart="28" format="19">
      <pivotArea type="data" outline="0" fieldPosition="0">
        <references count="2">
          <reference field="4294967294" count="1" selected="0">
            <x v="0"/>
          </reference>
          <reference field="3" count="1" selected="0">
            <x v="2"/>
          </reference>
        </references>
      </pivotArea>
    </chartFormat>
    <chartFormat chart="29" format="24" series="1">
      <pivotArea type="data" outline="0" fieldPosition="0">
        <references count="1">
          <reference field="4294967294" count="1" selected="0">
            <x v="0"/>
          </reference>
        </references>
      </pivotArea>
    </chartFormat>
    <chartFormat chart="29" format="25">
      <pivotArea type="data" outline="0" fieldPosition="0">
        <references count="2">
          <reference field="4294967294" count="1" selected="0">
            <x v="0"/>
          </reference>
          <reference field="3" count="1" selected="0">
            <x v="0"/>
          </reference>
        </references>
      </pivotArea>
    </chartFormat>
    <chartFormat chart="29" format="26">
      <pivotArea type="data" outline="0" fieldPosition="0">
        <references count="2">
          <reference field="4294967294" count="1" selected="0">
            <x v="0"/>
          </reference>
          <reference field="3" count="1" selected="0">
            <x v="1"/>
          </reference>
        </references>
      </pivotArea>
    </chartFormat>
    <chartFormat chart="29" format="27">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DF503E-3A63-45B7-9121-776991D9E9A3}" name="Monthly Sales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0">
  <location ref="A3:B6" firstHeaderRow="1" firstDataRow="1" firstDataCol="1"/>
  <pivotFields count="11">
    <pivotField showAll="0"/>
    <pivotField numFmtId="14" showAll="0"/>
    <pivotField showAll="0">
      <items count="5">
        <item x="3"/>
        <item x="1"/>
        <item x="0"/>
        <item x="2"/>
        <item t="default"/>
      </items>
    </pivotField>
    <pivotField showAll="0">
      <items count="4">
        <item x="1"/>
        <item x="0"/>
        <item x="2"/>
        <item t="default"/>
      </items>
    </pivotField>
    <pivotField showAll="0"/>
    <pivotField dataField="1" showAll="0"/>
    <pivotField showAll="0"/>
    <pivotField showAll="0"/>
    <pivotField showAll="0"/>
    <pivotField axis="axisRow" showAll="0">
      <items count="3">
        <item x="0"/>
        <item x="1"/>
        <item t="default"/>
      </items>
    </pivotField>
    <pivotField showAll="0">
      <items count="2">
        <item x="0"/>
        <item t="default"/>
      </items>
    </pivotField>
  </pivotFields>
  <rowFields count="1">
    <field x="9"/>
  </rowFields>
  <rowItems count="3">
    <i>
      <x/>
    </i>
    <i>
      <x v="1"/>
    </i>
    <i t="grand">
      <x/>
    </i>
  </rowItems>
  <colItems count="1">
    <i/>
  </colItems>
  <dataFields count="1">
    <dataField name="Sum of Sales" fld="5" baseField="0" baseItem="0"/>
  </dataFields>
  <chartFormats count="8">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9"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9" count="1" selected="0">
            <x v="1"/>
          </reference>
        </references>
      </pivotArea>
    </chartFormat>
    <chartFormat chart="28" format="10" series="1">
      <pivotArea type="data" outline="0" fieldPosition="0">
        <references count="1">
          <reference field="4294967294" count="1" selected="0">
            <x v="0"/>
          </reference>
        </references>
      </pivotArea>
    </chartFormat>
    <chartFormat chart="28" format="11">
      <pivotArea type="data" outline="0" fieldPosition="0">
        <references count="2">
          <reference field="4294967294" count="1" selected="0">
            <x v="0"/>
          </reference>
          <reference field="9" count="1" selected="0">
            <x v="1"/>
          </reference>
        </references>
      </pivotArea>
    </chartFormat>
    <chartFormat chart="29" format="14" series="1">
      <pivotArea type="data" outline="0" fieldPosition="0">
        <references count="1">
          <reference field="4294967294" count="1" selected="0">
            <x v="0"/>
          </reference>
        </references>
      </pivotArea>
    </chartFormat>
    <chartFormat chart="29" format="15">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BF828F-6581-4683-8AEB-D2762F9D44E0}" name="Top 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5">
  <location ref="A3:B14" firstHeaderRow="1" firstDataRow="1" firstDataCol="1"/>
  <pivotFields count="11">
    <pivotField showAll="0"/>
    <pivotField numFmtId="14" showAll="0"/>
    <pivotField showAll="0">
      <items count="5">
        <item x="3"/>
        <item x="1"/>
        <item x="0"/>
        <item x="2"/>
        <item t="default"/>
      </items>
    </pivotField>
    <pivotField showAll="0">
      <items count="4">
        <item x="1"/>
        <item x="0"/>
        <item x="2"/>
        <item t="default"/>
      </items>
    </pivotField>
    <pivotField axis="axisRow" showAll="0" measureFilter="1">
      <items count="20">
        <item x="9"/>
        <item x="18"/>
        <item x="0"/>
        <item x="15"/>
        <item x="12"/>
        <item x="17"/>
        <item x="14"/>
        <item x="7"/>
        <item x="1"/>
        <item x="8"/>
        <item x="4"/>
        <item x="13"/>
        <item x="5"/>
        <item x="2"/>
        <item x="16"/>
        <item x="6"/>
        <item x="11"/>
        <item x="3"/>
        <item x="10"/>
        <item t="default"/>
      </items>
    </pivotField>
    <pivotField dataField="1" showAll="0"/>
    <pivotField showAll="0"/>
    <pivotField showAll="0"/>
    <pivotField showAll="0"/>
    <pivotField showAll="0"/>
    <pivotField showAll="0">
      <items count="2">
        <item x="0"/>
        <item t="default"/>
      </items>
    </pivotField>
  </pivotFields>
  <rowFields count="1">
    <field x="4"/>
  </rowFields>
  <rowItems count="11">
    <i>
      <x/>
    </i>
    <i>
      <x v="1"/>
    </i>
    <i>
      <x v="2"/>
    </i>
    <i>
      <x v="3"/>
    </i>
    <i>
      <x v="8"/>
    </i>
    <i>
      <x v="10"/>
    </i>
    <i>
      <x v="11"/>
    </i>
    <i>
      <x v="15"/>
    </i>
    <i>
      <x v="17"/>
    </i>
    <i>
      <x v="18"/>
    </i>
    <i t="grand">
      <x/>
    </i>
  </rowItems>
  <colItems count="1">
    <i/>
  </colItems>
  <dataFields count="1">
    <dataField name="Sum of Sales" fld="5" baseField="0" baseItem="0"/>
  </dataFields>
  <chartFormats count="4">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 chart="3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42D4218-A48C-45E0-AB71-E73E3F4EEBBA}" sourceName="Region">
  <pivotTables>
    <pivotTable tabId="3" name="Sales by Region"/>
    <pivotTable tabId="4" name="Profit by Category"/>
    <pivotTable tabId="5" name="Monthly Sales Trend"/>
    <pivotTable tabId="6" name="Top Products"/>
  </pivotTables>
  <data>
    <tabular pivotCacheId="19730863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51CBDCE-BC3A-49B1-ACE3-3EEE21A846FF}" sourceName="Category">
  <pivotTables>
    <pivotTable tabId="3" name="Sales by Region"/>
    <pivotTable tabId="4" name="Profit by Category"/>
    <pivotTable tabId="5" name="Monthly Sales Trend"/>
    <pivotTable tabId="6" name="Top Products"/>
  </pivotTables>
  <data>
    <tabular pivotCacheId="197308639">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3919F04-5D17-4581-BEBC-B2A401D66BCF}" sourceName="Year">
  <pivotTables>
    <pivotTable tabId="3" name="Sales by Region"/>
    <pivotTable tabId="4" name="Profit by Category"/>
    <pivotTable tabId="5" name="Monthly Sales Trend"/>
    <pivotTable tabId="6" name="Top Products"/>
  </pivotTables>
  <data>
    <tabular pivotCacheId="197308639">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CED95E1-E59D-4A8A-954C-9BFF47DD5EB4}" cache="Slicer_Region" caption="Region" style="SlicerStyleLight4" rowHeight="234950"/>
  <slicer name="Region 1" xr10:uid="{1717DFE3-2954-488B-90D6-85DE17F0CE59}" cache="Slicer_Region" caption="Region" style="SlicerStyleLight4" rowHeight="234950"/>
  <slicer name="Region 2" xr10:uid="{98B5B8DF-B971-4A55-90A0-58C1FC9D977E}" cache="Slicer_Region" caption="Region" style="SlicerStyleLight4" rowHeight="234950"/>
  <slicer name="Region 3" xr10:uid="{CE3A36DB-0713-46BD-A475-512D64FEF080}" cache="Slicer_Region" caption="Region" style="SlicerStyleLight4" rowHeight="234950"/>
  <slicer name="Category" xr10:uid="{06283F79-F53E-4F3C-B76C-9F2476047500}" cache="Slicer_Category" caption="Category" style="SlicerStyleOther1" rowHeight="234950"/>
  <slicer name="Category 1" xr10:uid="{498EEB58-CC56-4F34-87B0-E206DD3A39F5}" cache="Slicer_Category" caption="Category" style="SlicerStyleOther1" rowHeight="234950"/>
  <slicer name="Category 2" xr10:uid="{7A2EA8A0-2618-4138-A41E-30AB557AE48C}" cache="Slicer_Category" caption="Category" style="SlicerStyleOther1" rowHeight="234950"/>
  <slicer name="Category 3" xr10:uid="{4EC645E4-2D21-48B7-A548-B0A74830111D}" cache="Slicer_Category" caption="Category" style="SlicerStyleOther1" rowHeight="234950"/>
  <slicer name="Year" xr10:uid="{33545942-F3C0-4AB2-AFFC-25A35CFF2C3E}" cache="Slicer_Year" caption="Year" style="SlicerStyleLight2" rowHeight="234950"/>
  <slicer name="Year 1" xr10:uid="{BB34732E-C64C-43BE-A0E5-C0253F31E3EA}" cache="Slicer_Year" caption="Year" style="SlicerStyleLight2" rowHeight="234950"/>
  <slicer name="Year 2" xr10:uid="{4CD67AA9-E73B-4994-8EFE-638B0C2974A8}" cache="Slicer_Year" caption="Year" style="SlicerStyleLight2" rowHeight="234950"/>
  <slicer name="Year 3" xr10:uid="{368AF6CA-2B3B-4F62-A269-D1978BAED910}" cache="Slicer_Year" caption="Year"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8E5068-6E3D-4644-A12C-3F7DEA7035DD}" name="Table1" displayName="Table1" ref="A1:K41" totalsRowShown="0">
  <autoFilter ref="A1:K41" xr:uid="{268E5068-6E3D-4644-A12C-3F7DEA7035DD}"/>
  <tableColumns count="11">
    <tableColumn id="1" xr3:uid="{833B6A68-9780-43FA-A35D-230781187A42}" name="Order ID"/>
    <tableColumn id="2" xr3:uid="{CC3E4B87-A605-414E-ADC8-8CBFCFE140EE}" name="Date" dataDxfId="2"/>
    <tableColumn id="3" xr3:uid="{EDB33C1E-41F4-4DD7-8D40-CA480B7F55CE}" name="Region"/>
    <tableColumn id="4" xr3:uid="{088925EF-122B-4B7B-82E4-5AFD61133AAD}" name="Category"/>
    <tableColumn id="5" xr3:uid="{30BE54FF-DEAC-4E7B-8BB6-DB05F267A705}" name="Product"/>
    <tableColumn id="6" xr3:uid="{09536593-1CA4-431A-9905-7C93AB715831}" name="Sales"/>
    <tableColumn id="7" xr3:uid="{ECA85639-81DD-4C6A-94CD-7A2AD4F5CCC2}" name="Quantity"/>
    <tableColumn id="8" xr3:uid="{5A3155DB-CA93-4852-A7FA-5D7B747D75C6}" name="Profit"/>
    <tableColumn id="9" xr3:uid="{BC017ABE-9B3C-4D4B-8FAD-7DCC652D36F2}" name="Customer"/>
    <tableColumn id="10" xr3:uid="{F6A6D71D-9DE6-4B4C-AC41-E7FA84B1261B}" name="Month" dataDxfId="1">
      <calculatedColumnFormula>TEXT(Table1[[#This Row],[Date]],"mmm")</calculatedColumnFormula>
    </tableColumn>
    <tableColumn id="11" xr3:uid="{F00FF107-20DB-442A-B541-338951880F73}" name="Year" dataDxfId="0">
      <calculatedColumnFormula>+YEAR(Table1[[#This Row],[Date]])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7A614-00BB-4F3E-8737-6E34A9C447EC}">
  <dimension ref="A3:B8"/>
  <sheetViews>
    <sheetView zoomScaleNormal="100" workbookViewId="0">
      <selection activeCell="A4" sqref="A4"/>
    </sheetView>
  </sheetViews>
  <sheetFormatPr defaultRowHeight="14.4"/>
  <cols>
    <col min="1" max="1" width="12.5546875" bestFit="1" customWidth="1"/>
    <col min="2" max="2" width="11.6640625" bestFit="1" customWidth="1"/>
  </cols>
  <sheetData>
    <row r="3" spans="1:2">
      <c r="A3" s="2" t="s">
        <v>58</v>
      </c>
      <c r="B3" t="s">
        <v>60</v>
      </c>
    </row>
    <row r="4" spans="1:2">
      <c r="A4" s="3" t="s">
        <v>12</v>
      </c>
      <c r="B4">
        <v>111300</v>
      </c>
    </row>
    <row r="5" spans="1:2">
      <c r="A5" s="3" t="s">
        <v>10</v>
      </c>
      <c r="B5">
        <v>166800</v>
      </c>
    </row>
    <row r="6" spans="1:2">
      <c r="A6" s="3" t="s">
        <v>9</v>
      </c>
      <c r="B6">
        <v>84700</v>
      </c>
    </row>
    <row r="7" spans="1:2">
      <c r="A7" s="3" t="s">
        <v>11</v>
      </c>
      <c r="B7">
        <v>111150</v>
      </c>
    </row>
    <row r="8" spans="1:2">
      <c r="A8" s="3" t="s">
        <v>59</v>
      </c>
      <c r="B8">
        <v>473950</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66018-49AF-4335-988E-4C5DFB3269BD}">
  <dimension ref="A3:B7"/>
  <sheetViews>
    <sheetView workbookViewId="0">
      <selection activeCell="A4" sqref="A4"/>
    </sheetView>
  </sheetViews>
  <sheetFormatPr defaultRowHeight="14.4"/>
  <cols>
    <col min="1" max="1" width="13.109375" bestFit="1" customWidth="1"/>
    <col min="2" max="2" width="12.109375" bestFit="1" customWidth="1"/>
  </cols>
  <sheetData>
    <row r="3" spans="1:2">
      <c r="A3" s="2" t="s">
        <v>58</v>
      </c>
      <c r="B3" t="s">
        <v>61</v>
      </c>
    </row>
    <row r="4" spans="1:2">
      <c r="A4" s="3" t="s">
        <v>14</v>
      </c>
      <c r="B4">
        <v>38400</v>
      </c>
    </row>
    <row r="5" spans="1:2">
      <c r="A5" s="3" t="s">
        <v>13</v>
      </c>
      <c r="B5">
        <v>37600</v>
      </c>
    </row>
    <row r="6" spans="1:2">
      <c r="A6" s="3" t="s">
        <v>22</v>
      </c>
      <c r="B6">
        <v>3230</v>
      </c>
    </row>
    <row r="7" spans="1:2">
      <c r="A7" s="3" t="s">
        <v>59</v>
      </c>
      <c r="B7">
        <v>79230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D9D9C-4E2A-4E8C-9C3F-E3ADF20ADF50}">
  <dimension ref="A3:B6"/>
  <sheetViews>
    <sheetView workbookViewId="0">
      <selection activeCell="A5" sqref="A5"/>
    </sheetView>
  </sheetViews>
  <sheetFormatPr defaultRowHeight="14.4"/>
  <cols>
    <col min="1" max="1" width="12.5546875" bestFit="1" customWidth="1"/>
    <col min="2" max="2" width="11.6640625" bestFit="1" customWidth="1"/>
  </cols>
  <sheetData>
    <row r="3" spans="1:2">
      <c r="A3" s="2" t="s">
        <v>58</v>
      </c>
      <c r="B3" t="s">
        <v>60</v>
      </c>
    </row>
    <row r="4" spans="1:2">
      <c r="A4" s="3" t="s">
        <v>62</v>
      </c>
      <c r="B4">
        <v>390800</v>
      </c>
    </row>
    <row r="5" spans="1:2">
      <c r="A5" s="3" t="s">
        <v>63</v>
      </c>
      <c r="B5">
        <v>83150</v>
      </c>
    </row>
    <row r="6" spans="1:2">
      <c r="A6" s="3" t="s">
        <v>59</v>
      </c>
      <c r="B6">
        <v>473950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C0309-D835-451F-8275-8BEC6E908647}">
  <dimension ref="A3:B14"/>
  <sheetViews>
    <sheetView workbookViewId="0">
      <selection activeCell="B11" sqref="B11"/>
    </sheetView>
  </sheetViews>
  <sheetFormatPr defaultRowHeight="14.4"/>
  <cols>
    <col min="1" max="1" width="12.5546875" bestFit="1" customWidth="1"/>
    <col min="2" max="2" width="11.6640625" bestFit="1" customWidth="1"/>
  </cols>
  <sheetData>
    <row r="3" spans="1:2">
      <c r="A3" s="2" t="s">
        <v>58</v>
      </c>
      <c r="B3" t="s">
        <v>60</v>
      </c>
    </row>
    <row r="4" spans="1:2">
      <c r="A4" s="3" t="s">
        <v>25</v>
      </c>
      <c r="B4">
        <v>62000</v>
      </c>
    </row>
    <row r="5" spans="1:2">
      <c r="A5" s="3" t="s">
        <v>34</v>
      </c>
      <c r="B5">
        <v>51000</v>
      </c>
    </row>
    <row r="6" spans="1:2">
      <c r="A6" s="3" t="s">
        <v>15</v>
      </c>
      <c r="B6">
        <v>16500</v>
      </c>
    </row>
    <row r="7" spans="1:2">
      <c r="A7" s="3" t="s">
        <v>31</v>
      </c>
      <c r="B7">
        <v>41000</v>
      </c>
    </row>
    <row r="8" spans="1:2">
      <c r="A8" s="3" t="s">
        <v>16</v>
      </c>
      <c r="B8">
        <v>92000</v>
      </c>
    </row>
    <row r="9" spans="1:2">
      <c r="A9" s="3" t="s">
        <v>19</v>
      </c>
      <c r="B9">
        <v>42000</v>
      </c>
    </row>
    <row r="10" spans="1:2">
      <c r="A10" s="3" t="s">
        <v>29</v>
      </c>
      <c r="B10">
        <v>25000</v>
      </c>
    </row>
    <row r="11" spans="1:2">
      <c r="A11" s="3" t="s">
        <v>20</v>
      </c>
      <c r="B11">
        <v>52000</v>
      </c>
    </row>
    <row r="12" spans="1:2">
      <c r="A12" s="3" t="s">
        <v>18</v>
      </c>
      <c r="B12">
        <v>22300</v>
      </c>
    </row>
    <row r="13" spans="1:2">
      <c r="A13" s="3" t="s">
        <v>26</v>
      </c>
      <c r="B13">
        <v>31000</v>
      </c>
    </row>
    <row r="14" spans="1:2">
      <c r="A14" s="3" t="s">
        <v>59</v>
      </c>
      <c r="B14">
        <v>434800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DECAB-7313-4B5A-8D70-027748C68AE7}">
  <dimension ref="D2:R68"/>
  <sheetViews>
    <sheetView tabSelected="1" zoomScale="90" zoomScaleNormal="90" workbookViewId="0">
      <selection activeCell="H6" sqref="H6"/>
    </sheetView>
  </sheetViews>
  <sheetFormatPr defaultRowHeight="14.4"/>
  <cols>
    <col min="2" max="2" width="12.21875" customWidth="1"/>
    <col min="3" max="3" width="15.109375" customWidth="1"/>
    <col min="4" max="4" width="5.6640625" customWidth="1"/>
    <col min="5" max="5" width="13.44140625" customWidth="1"/>
    <col min="6" max="6" width="16" customWidth="1"/>
    <col min="7" max="7" width="6.33203125" customWidth="1"/>
    <col min="8" max="8" width="13.109375" customWidth="1"/>
    <col min="9" max="9" width="14.6640625" customWidth="1"/>
    <col min="10" max="10" width="13.5546875" bestFit="1" customWidth="1"/>
    <col min="11" max="11" width="13.77734375" customWidth="1"/>
    <col min="12" max="12" width="14.6640625" customWidth="1"/>
    <col min="15" max="15" width="9.109375" customWidth="1"/>
  </cols>
  <sheetData>
    <row r="2" spans="4:18" ht="17.399999999999999">
      <c r="F2" s="8"/>
      <c r="G2" s="9"/>
    </row>
    <row r="3" spans="4:18" ht="15">
      <c r="D3" s="10"/>
      <c r="E3" s="10"/>
      <c r="F3" s="11"/>
      <c r="G3" s="12"/>
      <c r="H3" s="10"/>
      <c r="I3" s="10"/>
      <c r="J3" s="10"/>
      <c r="K3" s="10"/>
      <c r="L3" s="10"/>
      <c r="M3" s="10"/>
      <c r="N3" s="10"/>
      <c r="O3" s="10"/>
      <c r="P3" s="10"/>
      <c r="Q3" s="10"/>
      <c r="R3" s="10"/>
    </row>
    <row r="4" spans="4:18">
      <c r="D4" s="10"/>
      <c r="E4" s="10"/>
      <c r="F4" s="10"/>
      <c r="G4" s="10"/>
      <c r="H4" s="10"/>
      <c r="I4" s="10"/>
      <c r="J4" s="10"/>
      <c r="K4" s="10"/>
      <c r="L4" s="10"/>
      <c r="M4" s="10"/>
      <c r="N4" s="10"/>
      <c r="O4" s="10"/>
      <c r="P4" s="10"/>
      <c r="Q4" s="10"/>
      <c r="R4" s="10"/>
    </row>
    <row r="5" spans="4:18">
      <c r="D5" s="10"/>
      <c r="E5" s="10"/>
      <c r="F5" s="10"/>
      <c r="G5" s="10"/>
      <c r="H5" s="10"/>
      <c r="I5" s="10"/>
      <c r="J5" s="10"/>
      <c r="K5" s="10"/>
      <c r="L5" s="10"/>
      <c r="M5" s="10"/>
      <c r="N5" s="10"/>
      <c r="O5" s="10"/>
      <c r="P5" s="10"/>
      <c r="Q5" s="10"/>
      <c r="R5" s="10"/>
    </row>
    <row r="6" spans="4:18" ht="17.399999999999999">
      <c r="D6" s="10"/>
      <c r="E6" s="10"/>
      <c r="F6" s="10"/>
      <c r="G6" s="10"/>
      <c r="H6" s="10"/>
      <c r="I6" s="14">
        <f>SUM(Table1[Sales])</f>
        <v>473950</v>
      </c>
      <c r="J6" s="4">
        <f>SUM(Table1[Profit])</f>
        <v>79230</v>
      </c>
      <c r="K6" s="16">
        <f>COUNTA(Table1[Order ID])</f>
        <v>40</v>
      </c>
      <c r="L6" s="6">
        <f>J6/I6</f>
        <v>0.16716953265112353</v>
      </c>
      <c r="M6" s="10"/>
      <c r="N6" s="10"/>
      <c r="O6" s="10"/>
      <c r="P6" s="10"/>
      <c r="Q6" s="10"/>
      <c r="R6" s="10"/>
    </row>
    <row r="7" spans="4:18" ht="15">
      <c r="D7" s="10"/>
      <c r="E7" s="10"/>
      <c r="F7" s="10"/>
      <c r="G7" s="10"/>
      <c r="H7" s="10"/>
      <c r="I7" s="15" t="s">
        <v>64</v>
      </c>
      <c r="J7" s="5" t="s">
        <v>65</v>
      </c>
      <c r="K7" s="17" t="s">
        <v>66</v>
      </c>
      <c r="L7" s="7" t="s">
        <v>67</v>
      </c>
      <c r="M7" s="10"/>
      <c r="N7" s="10"/>
      <c r="O7" s="10"/>
      <c r="P7" s="10"/>
      <c r="Q7" s="10"/>
      <c r="R7" s="10"/>
    </row>
    <row r="8" spans="4:18">
      <c r="D8" s="10"/>
      <c r="E8" s="10"/>
      <c r="F8" s="10"/>
      <c r="G8" s="10"/>
      <c r="H8" s="10"/>
      <c r="I8" s="10"/>
      <c r="J8" s="10"/>
      <c r="K8" s="10"/>
      <c r="L8" s="10"/>
      <c r="M8" s="10"/>
      <c r="N8" s="10"/>
      <c r="O8" s="10"/>
      <c r="P8" s="10"/>
      <c r="Q8" s="10"/>
      <c r="R8" s="10"/>
    </row>
    <row r="9" spans="4:18" ht="28.8">
      <c r="D9" s="10"/>
      <c r="E9" s="10"/>
      <c r="F9" s="10"/>
      <c r="G9" s="10"/>
      <c r="H9" s="13" t="s">
        <v>68</v>
      </c>
      <c r="I9" s="13"/>
      <c r="J9" s="13"/>
      <c r="K9" s="10"/>
      <c r="L9" s="10"/>
      <c r="M9" s="10"/>
      <c r="N9" s="10"/>
      <c r="O9" s="10"/>
      <c r="P9" s="10"/>
      <c r="Q9" s="10"/>
      <c r="R9" s="10"/>
    </row>
    <row r="10" spans="4:18">
      <c r="D10" s="10"/>
      <c r="E10" s="10"/>
      <c r="F10" s="10"/>
      <c r="G10" s="10"/>
      <c r="H10" s="10"/>
      <c r="I10" s="10"/>
      <c r="J10" s="10"/>
      <c r="K10" s="10"/>
      <c r="L10" s="10"/>
      <c r="M10" s="10"/>
      <c r="N10" s="10"/>
      <c r="O10" s="10"/>
      <c r="P10" s="10"/>
      <c r="Q10" s="10"/>
      <c r="R10" s="10"/>
    </row>
    <row r="11" spans="4:18">
      <c r="D11" s="10"/>
      <c r="E11" s="10"/>
      <c r="F11" s="10"/>
      <c r="G11" s="10"/>
      <c r="H11" s="10"/>
      <c r="I11" s="10"/>
      <c r="J11" s="10"/>
      <c r="K11" s="10"/>
      <c r="L11" s="10"/>
      <c r="M11" s="10"/>
      <c r="N11" s="10"/>
      <c r="O11" s="10"/>
      <c r="P11" s="10"/>
      <c r="Q11" s="10"/>
      <c r="R11" s="10"/>
    </row>
    <row r="12" spans="4:18">
      <c r="D12" s="10"/>
      <c r="E12" s="10"/>
      <c r="F12" s="10"/>
      <c r="G12" s="10"/>
      <c r="H12" s="10"/>
      <c r="I12" s="10"/>
      <c r="J12" s="10"/>
      <c r="K12" s="10"/>
      <c r="L12" s="10"/>
      <c r="M12" s="10"/>
      <c r="N12" s="10"/>
      <c r="O12" s="10"/>
      <c r="P12" s="10"/>
      <c r="Q12" s="10"/>
      <c r="R12" s="10"/>
    </row>
    <row r="13" spans="4:18">
      <c r="D13" s="10"/>
      <c r="E13" s="10"/>
      <c r="F13" s="10"/>
      <c r="G13" s="10"/>
      <c r="H13" s="10"/>
      <c r="I13" s="10"/>
      <c r="J13" s="10"/>
      <c r="K13" s="10"/>
      <c r="L13" s="10"/>
      <c r="M13" s="10"/>
      <c r="N13" s="10"/>
      <c r="O13" s="10"/>
      <c r="P13" s="10"/>
      <c r="Q13" s="10"/>
      <c r="R13" s="10"/>
    </row>
    <row r="14" spans="4:18">
      <c r="D14" s="10"/>
      <c r="E14" s="10"/>
      <c r="F14" s="10"/>
      <c r="G14" s="10"/>
      <c r="H14" s="10"/>
      <c r="I14" s="10"/>
      <c r="J14" s="10"/>
      <c r="K14" s="10"/>
      <c r="L14" s="10"/>
      <c r="M14" s="10"/>
      <c r="N14" s="10"/>
      <c r="O14" s="10"/>
      <c r="P14" s="10"/>
      <c r="Q14" s="10"/>
      <c r="R14" s="10"/>
    </row>
    <row r="15" spans="4:18">
      <c r="D15" s="10"/>
      <c r="E15" s="10"/>
      <c r="F15" s="10"/>
      <c r="G15" s="10"/>
      <c r="H15" s="10"/>
      <c r="I15" s="10"/>
      <c r="J15" s="10"/>
      <c r="K15" s="10"/>
      <c r="L15" s="10"/>
      <c r="M15" s="10"/>
      <c r="N15" s="10"/>
      <c r="O15" s="10"/>
      <c r="P15" s="10"/>
      <c r="Q15" s="10"/>
      <c r="R15" s="10"/>
    </row>
    <row r="16" spans="4:18">
      <c r="D16" s="10"/>
      <c r="E16" s="10"/>
      <c r="F16" s="10"/>
      <c r="G16" s="10"/>
      <c r="H16" s="10"/>
      <c r="I16" s="10"/>
      <c r="J16" s="10"/>
      <c r="K16" s="10"/>
      <c r="L16" s="10"/>
      <c r="M16" s="10"/>
      <c r="N16" s="10"/>
      <c r="O16" s="10"/>
      <c r="P16" s="10"/>
      <c r="Q16" s="10"/>
      <c r="R16" s="10"/>
    </row>
    <row r="17" spans="4:18">
      <c r="D17" s="10"/>
      <c r="E17" s="10"/>
      <c r="F17" s="10"/>
      <c r="G17" s="10"/>
      <c r="H17" s="10"/>
      <c r="I17" s="10"/>
      <c r="J17" s="10"/>
      <c r="K17" s="10"/>
      <c r="L17" s="10"/>
      <c r="M17" s="10"/>
      <c r="N17" s="10"/>
      <c r="O17" s="10"/>
      <c r="P17" s="10"/>
      <c r="Q17" s="10"/>
      <c r="R17" s="10"/>
    </row>
    <row r="18" spans="4:18">
      <c r="D18" s="10"/>
      <c r="E18" s="10"/>
      <c r="F18" s="10"/>
      <c r="G18" s="10"/>
      <c r="H18" s="10"/>
      <c r="I18" s="10"/>
      <c r="J18" s="10"/>
      <c r="K18" s="10"/>
      <c r="L18" s="10"/>
      <c r="M18" s="10"/>
      <c r="N18" s="10"/>
      <c r="O18" s="10"/>
      <c r="P18" s="10"/>
      <c r="Q18" s="10"/>
      <c r="R18" s="10"/>
    </row>
    <row r="19" spans="4:18">
      <c r="D19" s="10"/>
      <c r="E19" s="10"/>
      <c r="F19" s="10"/>
      <c r="G19" s="10"/>
      <c r="H19" s="10"/>
      <c r="I19" s="10"/>
      <c r="J19" s="10"/>
      <c r="K19" s="10"/>
      <c r="L19" s="10"/>
      <c r="M19" s="10"/>
      <c r="N19" s="10"/>
      <c r="O19" s="10"/>
      <c r="P19" s="10"/>
      <c r="Q19" s="10"/>
      <c r="R19" s="10"/>
    </row>
    <row r="20" spans="4:18">
      <c r="D20" s="10"/>
      <c r="E20" s="10"/>
      <c r="F20" s="10"/>
      <c r="G20" s="10"/>
      <c r="H20" s="10"/>
      <c r="I20" s="10"/>
      <c r="J20" s="10"/>
      <c r="K20" s="10"/>
      <c r="L20" s="10"/>
      <c r="M20" s="10"/>
      <c r="N20" s="10"/>
      <c r="O20" s="10"/>
      <c r="P20" s="10"/>
      <c r="Q20" s="10"/>
      <c r="R20" s="10"/>
    </row>
    <row r="21" spans="4:18">
      <c r="D21" s="10"/>
      <c r="E21" s="10"/>
      <c r="F21" s="10"/>
      <c r="G21" s="10"/>
      <c r="H21" s="10"/>
      <c r="I21" s="10"/>
      <c r="J21" s="10"/>
      <c r="K21" s="10"/>
      <c r="L21" s="10"/>
      <c r="M21" s="10"/>
      <c r="N21" s="10"/>
      <c r="O21" s="10"/>
      <c r="P21" s="10"/>
      <c r="Q21" s="10"/>
      <c r="R21" s="10"/>
    </row>
    <row r="22" spans="4:18">
      <c r="D22" s="10"/>
      <c r="E22" s="10"/>
      <c r="F22" s="10"/>
      <c r="G22" s="10"/>
      <c r="H22" s="10"/>
      <c r="I22" s="10"/>
      <c r="J22" s="10"/>
      <c r="K22" s="10"/>
      <c r="L22" s="10"/>
      <c r="M22" s="10"/>
      <c r="N22" s="10"/>
      <c r="O22" s="10"/>
      <c r="P22" s="10"/>
      <c r="Q22" s="10"/>
      <c r="R22" s="10"/>
    </row>
    <row r="23" spans="4:18">
      <c r="D23" s="10"/>
      <c r="E23" s="10"/>
      <c r="F23" s="10"/>
      <c r="G23" s="10"/>
      <c r="H23" s="10"/>
      <c r="I23" s="10"/>
      <c r="J23" s="10"/>
      <c r="K23" s="10"/>
      <c r="L23" s="10"/>
      <c r="M23" s="10"/>
      <c r="N23" s="10"/>
      <c r="O23" s="10"/>
      <c r="P23" s="10"/>
      <c r="Q23" s="10"/>
      <c r="R23" s="10"/>
    </row>
    <row r="24" spans="4:18">
      <c r="D24" s="10"/>
      <c r="E24" s="10"/>
      <c r="F24" s="10"/>
      <c r="G24" s="10"/>
      <c r="H24" s="10"/>
      <c r="I24" s="10"/>
      <c r="J24" s="10"/>
      <c r="K24" s="10"/>
      <c r="L24" s="10"/>
      <c r="M24" s="10"/>
      <c r="N24" s="10"/>
      <c r="O24" s="10"/>
      <c r="P24" s="10"/>
      <c r="Q24" s="10"/>
      <c r="R24" s="10"/>
    </row>
    <row r="25" spans="4:18">
      <c r="D25" s="10"/>
      <c r="E25" s="10"/>
      <c r="F25" s="10"/>
      <c r="G25" s="10"/>
      <c r="H25" s="10"/>
      <c r="I25" s="10"/>
      <c r="J25" s="10"/>
      <c r="K25" s="10"/>
      <c r="L25" s="10"/>
      <c r="M25" s="10"/>
      <c r="N25" s="10"/>
      <c r="O25" s="10"/>
      <c r="P25" s="10"/>
      <c r="Q25" s="10"/>
      <c r="R25" s="10"/>
    </row>
    <row r="26" spans="4:18">
      <c r="D26" s="10"/>
      <c r="E26" s="10"/>
      <c r="F26" s="10"/>
      <c r="G26" s="10"/>
      <c r="H26" s="10"/>
      <c r="I26" s="10"/>
      <c r="J26" s="10"/>
      <c r="K26" s="10"/>
      <c r="L26" s="10"/>
      <c r="M26" s="10"/>
      <c r="N26" s="10"/>
      <c r="O26" s="10"/>
      <c r="P26" s="10"/>
      <c r="Q26" s="10"/>
      <c r="R26" s="10"/>
    </row>
    <row r="27" spans="4:18">
      <c r="D27" s="10"/>
      <c r="E27" s="10"/>
      <c r="F27" s="10"/>
      <c r="G27" s="10"/>
      <c r="H27" s="10"/>
      <c r="I27" s="10"/>
      <c r="J27" s="10"/>
      <c r="K27" s="10"/>
      <c r="L27" s="10"/>
      <c r="M27" s="10"/>
      <c r="N27" s="10"/>
      <c r="O27" s="10"/>
      <c r="P27" s="10"/>
      <c r="Q27" s="10"/>
      <c r="R27" s="10"/>
    </row>
    <row r="28" spans="4:18">
      <c r="D28" s="10"/>
      <c r="E28" s="10"/>
      <c r="F28" s="10"/>
      <c r="G28" s="10"/>
      <c r="H28" s="10"/>
      <c r="I28" s="10"/>
      <c r="J28" s="10"/>
      <c r="K28" s="10"/>
      <c r="L28" s="10"/>
      <c r="M28" s="10"/>
      <c r="N28" s="10"/>
      <c r="O28" s="10"/>
      <c r="P28" s="10"/>
      <c r="Q28" s="10"/>
      <c r="R28" s="10"/>
    </row>
    <row r="29" spans="4:18">
      <c r="D29" s="10"/>
      <c r="E29" s="10"/>
      <c r="F29" s="10"/>
      <c r="G29" s="10"/>
      <c r="H29" s="10"/>
      <c r="I29" s="10"/>
      <c r="J29" s="10"/>
      <c r="K29" s="10"/>
      <c r="L29" s="10"/>
      <c r="M29" s="10"/>
      <c r="N29" s="10"/>
      <c r="O29" s="10"/>
      <c r="P29" s="10"/>
      <c r="Q29" s="10"/>
      <c r="R29" s="10"/>
    </row>
    <row r="30" spans="4:18">
      <c r="D30" s="10"/>
      <c r="E30" s="10"/>
      <c r="F30" s="10"/>
      <c r="G30" s="10"/>
      <c r="H30" s="10"/>
      <c r="I30" s="10"/>
      <c r="J30" s="10"/>
      <c r="K30" s="10"/>
      <c r="L30" s="10"/>
      <c r="M30" s="10"/>
      <c r="N30" s="10"/>
      <c r="O30" s="10"/>
      <c r="P30" s="10"/>
      <c r="Q30" s="10"/>
      <c r="R30" s="10"/>
    </row>
    <row r="31" spans="4:18">
      <c r="D31" s="10"/>
      <c r="E31" s="10"/>
      <c r="F31" s="10"/>
      <c r="G31" s="10"/>
      <c r="H31" s="10"/>
      <c r="I31" s="10"/>
      <c r="J31" s="10"/>
      <c r="K31" s="10"/>
      <c r="L31" s="10"/>
      <c r="M31" s="10"/>
      <c r="N31" s="10"/>
      <c r="O31" s="10"/>
      <c r="P31" s="10"/>
      <c r="Q31" s="10"/>
      <c r="R31" s="10"/>
    </row>
    <row r="32" spans="4:18">
      <c r="D32" s="10"/>
      <c r="E32" s="10"/>
      <c r="F32" s="10"/>
      <c r="G32" s="10"/>
      <c r="H32" s="10"/>
      <c r="I32" s="10"/>
      <c r="J32" s="10"/>
      <c r="K32" s="10"/>
      <c r="L32" s="10"/>
      <c r="M32" s="10"/>
      <c r="N32" s="10"/>
      <c r="O32" s="10"/>
      <c r="P32" s="10"/>
      <c r="Q32" s="10"/>
      <c r="R32" s="10"/>
    </row>
    <row r="33" spans="4:18">
      <c r="D33" s="10"/>
      <c r="E33" s="10"/>
      <c r="F33" s="10"/>
      <c r="G33" s="10"/>
      <c r="H33" s="10"/>
      <c r="I33" s="10"/>
      <c r="J33" s="10"/>
      <c r="K33" s="10"/>
      <c r="L33" s="10"/>
      <c r="M33" s="10"/>
      <c r="N33" s="10"/>
      <c r="O33" s="10"/>
      <c r="P33" s="10"/>
      <c r="Q33" s="10"/>
      <c r="R33" s="10"/>
    </row>
    <row r="34" spans="4:18">
      <c r="D34" s="10"/>
      <c r="E34" s="10"/>
      <c r="F34" s="10"/>
      <c r="G34" s="10"/>
      <c r="H34" s="10"/>
      <c r="I34" s="10"/>
      <c r="J34" s="10"/>
      <c r="K34" s="10"/>
      <c r="L34" s="10"/>
      <c r="M34" s="10"/>
      <c r="N34" s="10"/>
      <c r="O34" s="10"/>
      <c r="P34" s="10"/>
      <c r="Q34" s="10"/>
      <c r="R34" s="10"/>
    </row>
    <row r="35" spans="4:18">
      <c r="D35" s="10"/>
      <c r="E35" s="10"/>
      <c r="F35" s="10"/>
      <c r="G35" s="10"/>
      <c r="H35" s="10"/>
      <c r="I35" s="10"/>
      <c r="J35" s="10"/>
      <c r="K35" s="10"/>
      <c r="L35" s="10"/>
      <c r="M35" s="10"/>
      <c r="N35" s="10"/>
      <c r="O35" s="10"/>
      <c r="P35" s="10"/>
      <c r="Q35" s="10"/>
      <c r="R35" s="10"/>
    </row>
    <row r="36" spans="4:18">
      <c r="D36" s="10"/>
      <c r="E36" s="10"/>
      <c r="F36" s="10"/>
      <c r="G36" s="10"/>
      <c r="H36" s="10"/>
      <c r="I36" s="10"/>
      <c r="J36" s="10"/>
      <c r="K36" s="10"/>
      <c r="L36" s="10"/>
      <c r="M36" s="10"/>
      <c r="N36" s="10"/>
      <c r="O36" s="10"/>
      <c r="P36" s="10"/>
      <c r="Q36" s="10"/>
      <c r="R36" s="10"/>
    </row>
    <row r="37" spans="4:18">
      <c r="D37" s="10"/>
      <c r="E37" s="10"/>
      <c r="F37" s="10"/>
      <c r="G37" s="10"/>
      <c r="H37" s="10"/>
      <c r="I37" s="10"/>
      <c r="J37" s="10"/>
      <c r="K37" s="10"/>
      <c r="L37" s="10"/>
      <c r="M37" s="10"/>
      <c r="N37" s="10"/>
      <c r="O37" s="10"/>
      <c r="P37" s="10"/>
      <c r="Q37" s="10"/>
      <c r="R37" s="10"/>
    </row>
    <row r="38" spans="4:18">
      <c r="D38" s="10"/>
      <c r="E38" s="10"/>
      <c r="F38" s="10"/>
      <c r="G38" s="10"/>
      <c r="H38" s="10"/>
      <c r="I38" s="10"/>
      <c r="J38" s="10"/>
      <c r="K38" s="10"/>
      <c r="L38" s="10"/>
      <c r="M38" s="10"/>
      <c r="N38" s="10"/>
      <c r="O38" s="10"/>
      <c r="P38" s="10"/>
      <c r="Q38" s="10"/>
      <c r="R38" s="10"/>
    </row>
    <row r="39" spans="4:18">
      <c r="D39" s="10"/>
      <c r="E39" s="10"/>
      <c r="F39" s="10"/>
      <c r="G39" s="10"/>
      <c r="H39" s="10"/>
      <c r="I39" s="10"/>
      <c r="J39" s="10"/>
      <c r="K39" s="10"/>
      <c r="L39" s="10"/>
      <c r="M39" s="10"/>
      <c r="N39" s="10"/>
      <c r="O39" s="10"/>
      <c r="P39" s="10"/>
      <c r="Q39" s="10"/>
      <c r="R39" s="10"/>
    </row>
    <row r="40" spans="4:18">
      <c r="D40" s="10"/>
      <c r="E40" s="10"/>
      <c r="F40" s="10"/>
      <c r="G40" s="10"/>
      <c r="H40" s="10"/>
      <c r="I40" s="10"/>
      <c r="J40" s="10"/>
      <c r="K40" s="10"/>
      <c r="L40" s="10"/>
      <c r="M40" s="10"/>
      <c r="N40" s="10"/>
      <c r="O40" s="10"/>
      <c r="P40" s="10"/>
      <c r="Q40" s="10"/>
      <c r="R40" s="10"/>
    </row>
    <row r="41" spans="4:18">
      <c r="D41" s="10"/>
      <c r="E41" s="10"/>
      <c r="F41" s="10"/>
      <c r="G41" s="10"/>
      <c r="H41" s="10"/>
      <c r="I41" s="10"/>
      <c r="J41" s="10"/>
      <c r="K41" s="10"/>
      <c r="L41" s="10"/>
      <c r="M41" s="10"/>
      <c r="N41" s="10"/>
      <c r="O41" s="10"/>
      <c r="P41" s="10"/>
      <c r="Q41" s="10"/>
      <c r="R41" s="10"/>
    </row>
    <row r="42" spans="4:18">
      <c r="D42" s="10"/>
      <c r="E42" s="10"/>
      <c r="F42" s="10"/>
      <c r="G42" s="10"/>
      <c r="H42" s="10"/>
      <c r="I42" s="10"/>
      <c r="J42" s="10"/>
      <c r="K42" s="10"/>
      <c r="L42" s="10"/>
      <c r="M42" s="10"/>
      <c r="N42" s="10"/>
      <c r="O42" s="10"/>
      <c r="P42" s="10"/>
      <c r="Q42" s="10"/>
      <c r="R42" s="10"/>
    </row>
    <row r="43" spans="4:18">
      <c r="D43" s="10"/>
      <c r="E43" s="10"/>
      <c r="F43" s="10"/>
      <c r="G43" s="10"/>
      <c r="H43" s="10"/>
      <c r="I43" s="10"/>
      <c r="J43" s="10"/>
      <c r="K43" s="10"/>
      <c r="L43" s="10"/>
      <c r="M43" s="10"/>
      <c r="N43" s="10"/>
      <c r="O43" s="10"/>
      <c r="P43" s="10"/>
      <c r="Q43" s="10"/>
      <c r="R43" s="10"/>
    </row>
    <row r="44" spans="4:18">
      <c r="D44" s="10"/>
      <c r="E44" s="10"/>
      <c r="F44" s="10"/>
      <c r="G44" s="10"/>
      <c r="H44" s="10"/>
      <c r="I44" s="10"/>
      <c r="J44" s="10"/>
      <c r="K44" s="10"/>
      <c r="L44" s="10"/>
      <c r="M44" s="10"/>
      <c r="N44" s="10"/>
      <c r="O44" s="10"/>
      <c r="P44" s="10"/>
      <c r="Q44" s="10"/>
      <c r="R44" s="10"/>
    </row>
    <row r="45" spans="4:18">
      <c r="D45" s="10"/>
      <c r="E45" s="10"/>
      <c r="F45" s="10"/>
      <c r="G45" s="10"/>
      <c r="H45" s="10"/>
      <c r="I45" s="10"/>
      <c r="J45" s="10"/>
      <c r="K45" s="10"/>
      <c r="L45" s="10"/>
      <c r="M45" s="10"/>
      <c r="N45" s="10"/>
      <c r="O45" s="10"/>
      <c r="P45" s="10"/>
      <c r="Q45" s="10"/>
      <c r="R45" s="10"/>
    </row>
    <row r="46" spans="4:18">
      <c r="D46" s="10"/>
      <c r="E46" s="10"/>
      <c r="F46" s="10"/>
      <c r="G46" s="10"/>
      <c r="H46" s="10"/>
      <c r="I46" s="10"/>
      <c r="J46" s="10"/>
      <c r="K46" s="10"/>
      <c r="L46" s="10"/>
      <c r="M46" s="10"/>
      <c r="N46" s="10"/>
      <c r="O46" s="10"/>
      <c r="P46" s="10"/>
      <c r="Q46" s="10"/>
      <c r="R46" s="10"/>
    </row>
    <row r="47" spans="4:18">
      <c r="D47" s="10"/>
      <c r="E47" s="10"/>
      <c r="F47" s="10"/>
      <c r="G47" s="10"/>
      <c r="H47" s="10"/>
      <c r="I47" s="10"/>
      <c r="J47" s="10"/>
      <c r="K47" s="10"/>
      <c r="L47" s="10"/>
      <c r="M47" s="10"/>
      <c r="N47" s="10"/>
      <c r="O47" s="10"/>
      <c r="P47" s="10"/>
      <c r="Q47" s="10"/>
      <c r="R47" s="10"/>
    </row>
    <row r="48" spans="4:18">
      <c r="D48" s="10"/>
      <c r="E48" s="10"/>
      <c r="F48" s="10"/>
      <c r="G48" s="10"/>
      <c r="H48" s="10"/>
      <c r="I48" s="10"/>
      <c r="J48" s="10"/>
      <c r="K48" s="10"/>
      <c r="L48" s="10"/>
      <c r="M48" s="10"/>
      <c r="N48" s="10"/>
      <c r="O48" s="10"/>
      <c r="P48" s="10"/>
      <c r="Q48" s="10"/>
      <c r="R48" s="10"/>
    </row>
    <row r="49" spans="4:18">
      <c r="D49" s="10"/>
      <c r="E49" s="10"/>
      <c r="F49" s="10"/>
      <c r="G49" s="10"/>
      <c r="H49" s="10"/>
      <c r="I49" s="10"/>
      <c r="J49" s="10"/>
      <c r="K49" s="10"/>
      <c r="L49" s="10"/>
      <c r="M49" s="10"/>
      <c r="N49" s="10"/>
      <c r="O49" s="10"/>
      <c r="P49" s="10"/>
      <c r="Q49" s="10"/>
      <c r="R49" s="10"/>
    </row>
    <row r="50" spans="4:18">
      <c r="D50" s="10"/>
      <c r="E50" s="10"/>
      <c r="F50" s="10"/>
      <c r="G50" s="10"/>
      <c r="H50" s="10"/>
      <c r="I50" s="10"/>
      <c r="J50" s="10"/>
      <c r="K50" s="10"/>
      <c r="L50" s="10"/>
      <c r="M50" s="10"/>
      <c r="N50" s="10"/>
      <c r="O50" s="10"/>
      <c r="P50" s="10"/>
      <c r="Q50" s="10"/>
      <c r="R50" s="10"/>
    </row>
    <row r="51" spans="4:18">
      <c r="D51" s="10"/>
      <c r="E51" s="10"/>
      <c r="F51" s="10"/>
      <c r="G51" s="10"/>
      <c r="H51" s="10"/>
      <c r="I51" s="10"/>
      <c r="J51" s="10"/>
      <c r="K51" s="10"/>
      <c r="L51" s="10"/>
      <c r="M51" s="10"/>
      <c r="N51" s="10"/>
      <c r="O51" s="10"/>
      <c r="P51" s="10"/>
      <c r="Q51" s="10"/>
      <c r="R51" s="10"/>
    </row>
    <row r="52" spans="4:18">
      <c r="D52" s="10"/>
      <c r="E52" s="10"/>
      <c r="F52" s="10"/>
      <c r="G52" s="10"/>
      <c r="H52" s="10"/>
      <c r="I52" s="10"/>
      <c r="J52" s="10"/>
      <c r="K52" s="10"/>
      <c r="L52" s="10"/>
      <c r="M52" s="10"/>
      <c r="N52" s="10"/>
      <c r="O52" s="10"/>
      <c r="P52" s="10"/>
      <c r="Q52" s="10"/>
      <c r="R52" s="10"/>
    </row>
    <row r="53" spans="4:18">
      <c r="D53" s="10"/>
      <c r="E53" s="10"/>
      <c r="F53" s="10"/>
      <c r="G53" s="10"/>
      <c r="H53" s="10"/>
      <c r="I53" s="10"/>
      <c r="J53" s="10"/>
      <c r="K53" s="10"/>
      <c r="L53" s="10"/>
      <c r="M53" s="10"/>
      <c r="N53" s="10"/>
      <c r="O53" s="10"/>
      <c r="P53" s="10"/>
      <c r="Q53" s="10"/>
      <c r="R53" s="10"/>
    </row>
    <row r="54" spans="4:18">
      <c r="D54" s="10"/>
      <c r="E54" s="10"/>
      <c r="F54" s="10"/>
      <c r="G54" s="10"/>
      <c r="H54" s="10"/>
      <c r="I54" s="10"/>
      <c r="J54" s="10"/>
      <c r="K54" s="10"/>
      <c r="L54" s="10"/>
      <c r="M54" s="10"/>
      <c r="N54" s="10"/>
      <c r="O54" s="10"/>
      <c r="P54" s="10"/>
      <c r="Q54" s="10"/>
      <c r="R54" s="10"/>
    </row>
    <row r="55" spans="4:18">
      <c r="D55" s="10"/>
      <c r="E55" s="10"/>
      <c r="F55" s="10"/>
      <c r="G55" s="10"/>
      <c r="H55" s="10"/>
      <c r="I55" s="10"/>
      <c r="J55" s="10"/>
      <c r="K55" s="10"/>
      <c r="L55" s="10"/>
      <c r="M55" s="10"/>
      <c r="N55" s="10"/>
      <c r="O55" s="10"/>
      <c r="P55" s="10"/>
      <c r="Q55" s="10"/>
      <c r="R55" s="10"/>
    </row>
    <row r="56" spans="4:18">
      <c r="D56" s="10"/>
      <c r="E56" s="10"/>
      <c r="F56" s="10"/>
      <c r="G56" s="10"/>
      <c r="H56" s="10"/>
      <c r="I56" s="10"/>
      <c r="J56" s="10"/>
      <c r="K56" s="10"/>
      <c r="L56" s="10"/>
      <c r="M56" s="10"/>
      <c r="N56" s="10"/>
      <c r="O56" s="10"/>
      <c r="P56" s="10"/>
      <c r="Q56" s="10"/>
      <c r="R56" s="10"/>
    </row>
    <row r="57" spans="4:18">
      <c r="D57" s="10"/>
      <c r="E57" s="10"/>
      <c r="F57" s="10"/>
      <c r="G57" s="10"/>
      <c r="H57" s="10"/>
      <c r="I57" s="10"/>
      <c r="J57" s="10"/>
      <c r="K57" s="10"/>
      <c r="L57" s="10"/>
      <c r="M57" s="10"/>
      <c r="N57" s="10"/>
      <c r="O57" s="10"/>
      <c r="P57" s="10"/>
      <c r="Q57" s="10"/>
      <c r="R57" s="10"/>
    </row>
    <row r="58" spans="4:18">
      <c r="D58" s="10"/>
      <c r="E58" s="10"/>
      <c r="F58" s="10"/>
      <c r="G58" s="10"/>
      <c r="H58" s="10"/>
      <c r="I58" s="10"/>
      <c r="J58" s="10"/>
      <c r="K58" s="10"/>
      <c r="L58" s="10"/>
      <c r="M58" s="10"/>
      <c r="N58" s="10"/>
      <c r="O58" s="10"/>
      <c r="P58" s="10"/>
      <c r="Q58" s="10"/>
      <c r="R58" s="10"/>
    </row>
    <row r="59" spans="4:18">
      <c r="D59" s="10"/>
      <c r="E59" s="10"/>
      <c r="F59" s="10"/>
      <c r="G59" s="10"/>
      <c r="H59" s="10"/>
      <c r="I59" s="10"/>
      <c r="J59" s="10"/>
      <c r="K59" s="10"/>
      <c r="L59" s="10"/>
      <c r="M59" s="10"/>
      <c r="N59" s="10"/>
      <c r="O59" s="10"/>
      <c r="P59" s="10"/>
      <c r="Q59" s="10"/>
      <c r="R59" s="10"/>
    </row>
    <row r="60" spans="4:18">
      <c r="D60" s="10"/>
      <c r="E60" s="10"/>
      <c r="F60" s="10"/>
      <c r="G60" s="10"/>
      <c r="H60" s="10"/>
      <c r="I60" s="10"/>
      <c r="J60" s="10"/>
      <c r="K60" s="10"/>
      <c r="L60" s="10"/>
      <c r="M60" s="10"/>
      <c r="N60" s="10"/>
      <c r="O60" s="10"/>
      <c r="P60" s="10"/>
      <c r="Q60" s="10"/>
      <c r="R60" s="10"/>
    </row>
    <row r="61" spans="4:18">
      <c r="D61" s="10"/>
      <c r="E61" s="10"/>
      <c r="F61" s="10"/>
      <c r="G61" s="10"/>
      <c r="H61" s="10"/>
      <c r="I61" s="10"/>
      <c r="J61" s="10"/>
      <c r="K61" s="10"/>
      <c r="L61" s="10"/>
      <c r="M61" s="10"/>
      <c r="N61" s="10"/>
      <c r="O61" s="10"/>
      <c r="P61" s="10"/>
      <c r="Q61" s="10"/>
      <c r="R61" s="10"/>
    </row>
    <row r="62" spans="4:18">
      <c r="D62" s="10"/>
      <c r="E62" s="10"/>
      <c r="F62" s="10"/>
      <c r="G62" s="10"/>
      <c r="H62" s="10"/>
      <c r="I62" s="10"/>
      <c r="J62" s="10"/>
      <c r="K62" s="10"/>
      <c r="L62" s="10"/>
      <c r="M62" s="10"/>
      <c r="N62" s="10"/>
      <c r="O62" s="10"/>
      <c r="P62" s="10"/>
      <c r="Q62" s="10"/>
      <c r="R62" s="10"/>
    </row>
    <row r="63" spans="4:18">
      <c r="D63" s="10"/>
      <c r="E63" s="10"/>
      <c r="F63" s="10"/>
      <c r="G63" s="10"/>
      <c r="H63" s="10"/>
      <c r="I63" s="10"/>
      <c r="J63" s="10"/>
      <c r="K63" s="10"/>
      <c r="L63" s="10"/>
      <c r="M63" s="10"/>
      <c r="N63" s="10"/>
      <c r="O63" s="10"/>
      <c r="P63" s="10"/>
      <c r="Q63" s="10"/>
      <c r="R63" s="10"/>
    </row>
    <row r="64" spans="4:18">
      <c r="D64" s="10"/>
      <c r="E64" s="10"/>
      <c r="F64" s="10"/>
      <c r="G64" s="10"/>
      <c r="H64" s="10"/>
      <c r="I64" s="10"/>
      <c r="J64" s="10"/>
      <c r="K64" s="10"/>
      <c r="L64" s="10"/>
      <c r="M64" s="10"/>
      <c r="N64" s="10"/>
      <c r="O64" s="10"/>
      <c r="P64" s="10"/>
      <c r="Q64" s="10"/>
      <c r="R64" s="10"/>
    </row>
    <row r="65" spans="4:18">
      <c r="D65" s="10"/>
      <c r="E65" s="10"/>
      <c r="F65" s="10"/>
      <c r="G65" s="10"/>
      <c r="H65" s="10"/>
      <c r="I65" s="10"/>
      <c r="J65" s="10"/>
      <c r="K65" s="10"/>
      <c r="L65" s="10"/>
      <c r="M65" s="10"/>
      <c r="N65" s="10"/>
      <c r="O65" s="10"/>
      <c r="P65" s="10"/>
      <c r="Q65" s="10"/>
      <c r="R65" s="10"/>
    </row>
    <row r="66" spans="4:18">
      <c r="D66" s="10"/>
      <c r="E66" s="10"/>
      <c r="F66" s="10"/>
      <c r="G66" s="10"/>
      <c r="H66" s="10"/>
      <c r="I66" s="10"/>
      <c r="J66" s="10"/>
      <c r="K66" s="10"/>
      <c r="L66" s="10"/>
      <c r="M66" s="10"/>
      <c r="N66" s="10"/>
      <c r="O66" s="10"/>
      <c r="P66" s="10"/>
      <c r="Q66" s="10"/>
      <c r="R66" s="10"/>
    </row>
    <row r="67" spans="4:18">
      <c r="D67" s="10"/>
      <c r="E67" s="10"/>
      <c r="F67" s="10"/>
      <c r="G67" s="10"/>
      <c r="H67" s="10"/>
      <c r="I67" s="10"/>
      <c r="J67" s="10"/>
      <c r="K67" s="10"/>
      <c r="L67" s="10"/>
      <c r="M67" s="10"/>
      <c r="N67" s="10"/>
      <c r="O67" s="10"/>
      <c r="P67" s="10"/>
      <c r="Q67" s="10"/>
      <c r="R67" s="10"/>
    </row>
    <row r="68" spans="4:18">
      <c r="D68" s="10"/>
      <c r="E68" s="10"/>
      <c r="F68" s="10"/>
      <c r="G68" s="10"/>
      <c r="H68" s="10"/>
      <c r="I68" s="10"/>
      <c r="J68" s="10"/>
      <c r="K68" s="10"/>
      <c r="L68" s="10"/>
      <c r="M68" s="10"/>
      <c r="N68" s="10"/>
      <c r="O68" s="10"/>
      <c r="P68" s="10"/>
      <c r="Q68" s="10"/>
      <c r="R68"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9AA4D-36B8-46C6-8A2A-85BDC3031371}">
  <dimension ref="A1:K41"/>
  <sheetViews>
    <sheetView topLeftCell="A2" workbookViewId="0">
      <selection activeCell="E11" sqref="E11"/>
    </sheetView>
  </sheetViews>
  <sheetFormatPr defaultRowHeight="14.4"/>
  <cols>
    <col min="1" max="1" width="9.88671875" customWidth="1"/>
    <col min="2" max="2" width="10.33203125" bestFit="1" customWidth="1"/>
    <col min="4" max="4" width="13" customWidth="1"/>
    <col min="5" max="5" width="11.77734375" customWidth="1"/>
    <col min="7" max="7" width="10.21875" customWidth="1"/>
    <col min="9" max="9" width="11" customWidth="1"/>
  </cols>
  <sheetData>
    <row r="1" spans="1:11">
      <c r="A1" t="s">
        <v>0</v>
      </c>
      <c r="B1" t="s">
        <v>1</v>
      </c>
      <c r="C1" t="s">
        <v>2</v>
      </c>
      <c r="D1" t="s">
        <v>3</v>
      </c>
      <c r="E1" t="s">
        <v>4</v>
      </c>
      <c r="F1" t="s">
        <v>5</v>
      </c>
      <c r="G1" t="s">
        <v>6</v>
      </c>
      <c r="H1" t="s">
        <v>7</v>
      </c>
      <c r="I1" t="s">
        <v>8</v>
      </c>
      <c r="J1" t="s">
        <v>56</v>
      </c>
      <c r="K1" t="s">
        <v>57</v>
      </c>
    </row>
    <row r="2" spans="1:11">
      <c r="A2">
        <v>1001</v>
      </c>
      <c r="B2" s="1">
        <v>45292</v>
      </c>
      <c r="C2" t="s">
        <v>9</v>
      </c>
      <c r="D2" t="s">
        <v>13</v>
      </c>
      <c r="E2" t="s">
        <v>15</v>
      </c>
      <c r="F2">
        <v>5000</v>
      </c>
      <c r="G2">
        <v>2</v>
      </c>
      <c r="H2">
        <v>800</v>
      </c>
      <c r="I2" t="s">
        <v>35</v>
      </c>
      <c r="J2" t="str">
        <f>TEXT(Table1[[#This Row],[Date]],"mmm")</f>
        <v>Jan</v>
      </c>
      <c r="K2">
        <f>+YEAR(Table1[[#This Row],[Date]])</f>
        <v>2024</v>
      </c>
    </row>
    <row r="3" spans="1:11">
      <c r="A3">
        <v>1002</v>
      </c>
      <c r="B3" s="1">
        <v>45293</v>
      </c>
      <c r="C3" t="s">
        <v>10</v>
      </c>
      <c r="D3" t="s">
        <v>14</v>
      </c>
      <c r="E3" t="s">
        <v>16</v>
      </c>
      <c r="F3">
        <v>45000</v>
      </c>
      <c r="G3">
        <v>1</v>
      </c>
      <c r="H3">
        <v>5000</v>
      </c>
      <c r="I3" t="s">
        <v>36</v>
      </c>
      <c r="J3" t="str">
        <f>TEXT(Table1[[#This Row],[Date]],"mmm")</f>
        <v>Jan</v>
      </c>
      <c r="K3">
        <f>+YEAR(Table1[[#This Row],[Date]])</f>
        <v>2024</v>
      </c>
    </row>
    <row r="4" spans="1:11">
      <c r="A4">
        <v>1003</v>
      </c>
      <c r="B4" s="1">
        <v>45294</v>
      </c>
      <c r="C4" t="s">
        <v>11</v>
      </c>
      <c r="D4" t="s">
        <v>22</v>
      </c>
      <c r="E4" t="s">
        <v>17</v>
      </c>
      <c r="F4">
        <v>500</v>
      </c>
      <c r="G4">
        <v>10</v>
      </c>
      <c r="H4">
        <v>150</v>
      </c>
      <c r="I4" t="s">
        <v>37</v>
      </c>
      <c r="J4" t="str">
        <f>TEXT(Table1[[#This Row],[Date]],"mmm")</f>
        <v>Jan</v>
      </c>
      <c r="K4">
        <f>+YEAR(Table1[[#This Row],[Date]])</f>
        <v>2024</v>
      </c>
    </row>
    <row r="5" spans="1:11">
      <c r="A5">
        <v>1004</v>
      </c>
      <c r="B5" s="1">
        <v>45295</v>
      </c>
      <c r="C5" t="s">
        <v>12</v>
      </c>
      <c r="D5" t="s">
        <v>13</v>
      </c>
      <c r="E5" t="s">
        <v>18</v>
      </c>
      <c r="F5">
        <v>7000</v>
      </c>
      <c r="G5">
        <v>1</v>
      </c>
      <c r="H5">
        <v>1200</v>
      </c>
      <c r="I5" t="s">
        <v>38</v>
      </c>
      <c r="J5" t="str">
        <f>TEXT(Table1[[#This Row],[Date]],"mmm")</f>
        <v>Jan</v>
      </c>
      <c r="K5">
        <f>+YEAR(Table1[[#This Row],[Date]])</f>
        <v>2024</v>
      </c>
    </row>
    <row r="6" spans="1:11">
      <c r="A6">
        <v>1005</v>
      </c>
      <c r="B6" s="1">
        <v>45296</v>
      </c>
      <c r="C6" t="s">
        <v>9</v>
      </c>
      <c r="D6" t="s">
        <v>14</v>
      </c>
      <c r="E6" t="s">
        <v>19</v>
      </c>
      <c r="F6">
        <v>20000</v>
      </c>
      <c r="G6">
        <v>2</v>
      </c>
      <c r="H6">
        <v>3000</v>
      </c>
      <c r="I6" t="s">
        <v>39</v>
      </c>
      <c r="J6" t="str">
        <f>TEXT(Table1[[#This Row],[Date]],"mmm")</f>
        <v>Jan</v>
      </c>
      <c r="K6">
        <f>+YEAR(Table1[[#This Row],[Date]])</f>
        <v>2024</v>
      </c>
    </row>
    <row r="7" spans="1:11">
      <c r="A7">
        <v>1006</v>
      </c>
      <c r="B7" s="1">
        <v>45297</v>
      </c>
      <c r="C7" t="s">
        <v>10</v>
      </c>
      <c r="D7" t="s">
        <v>22</v>
      </c>
      <c r="E7" t="s">
        <v>23</v>
      </c>
      <c r="F7">
        <v>1500</v>
      </c>
      <c r="G7">
        <v>5</v>
      </c>
      <c r="H7">
        <v>400</v>
      </c>
      <c r="I7" t="s">
        <v>40</v>
      </c>
      <c r="J7" t="str">
        <f>TEXT(Table1[[#This Row],[Date]],"mmm")</f>
        <v>Jan</v>
      </c>
      <c r="K7">
        <f>+YEAR(Table1[[#This Row],[Date]])</f>
        <v>2024</v>
      </c>
    </row>
    <row r="8" spans="1:11">
      <c r="A8">
        <v>1007</v>
      </c>
      <c r="B8" s="1">
        <v>45298</v>
      </c>
      <c r="C8" t="s">
        <v>11</v>
      </c>
      <c r="D8" t="s">
        <v>13</v>
      </c>
      <c r="E8" t="s">
        <v>20</v>
      </c>
      <c r="F8">
        <v>25000</v>
      </c>
      <c r="G8">
        <v>1</v>
      </c>
      <c r="H8">
        <v>4000</v>
      </c>
      <c r="I8" t="s">
        <v>41</v>
      </c>
      <c r="J8" t="str">
        <f>TEXT(Table1[[#This Row],[Date]],"mmm")</f>
        <v>Jan</v>
      </c>
      <c r="K8">
        <f>+YEAR(Table1[[#This Row],[Date]])</f>
        <v>2024</v>
      </c>
    </row>
    <row r="9" spans="1:11">
      <c r="A9">
        <v>1008</v>
      </c>
      <c r="B9" s="1">
        <v>45299</v>
      </c>
      <c r="C9" t="s">
        <v>12</v>
      </c>
      <c r="D9" t="s">
        <v>14</v>
      </c>
      <c r="E9" t="s">
        <v>24</v>
      </c>
      <c r="F9">
        <v>3000</v>
      </c>
      <c r="G9">
        <v>3</v>
      </c>
      <c r="H9">
        <v>800</v>
      </c>
      <c r="I9" t="s">
        <v>42</v>
      </c>
      <c r="J9" t="str">
        <f>TEXT(Table1[[#This Row],[Date]],"mmm")</f>
        <v>Jan</v>
      </c>
      <c r="K9">
        <f>+YEAR(Table1[[#This Row],[Date]])</f>
        <v>2024</v>
      </c>
    </row>
    <row r="10" spans="1:11">
      <c r="A10">
        <v>1009</v>
      </c>
      <c r="B10" s="1">
        <v>45300</v>
      </c>
      <c r="C10" t="s">
        <v>9</v>
      </c>
      <c r="D10" t="s">
        <v>22</v>
      </c>
      <c r="E10" t="s">
        <v>21</v>
      </c>
      <c r="F10">
        <v>700</v>
      </c>
      <c r="G10">
        <v>7</v>
      </c>
      <c r="H10">
        <v>200</v>
      </c>
      <c r="I10" t="s">
        <v>43</v>
      </c>
      <c r="J10" t="str">
        <f>TEXT(Table1[[#This Row],[Date]],"mmm")</f>
        <v>Jan</v>
      </c>
      <c r="K10">
        <f>+YEAR(Table1[[#This Row],[Date]])</f>
        <v>2024</v>
      </c>
    </row>
    <row r="11" spans="1:11">
      <c r="A11">
        <v>1010</v>
      </c>
      <c r="B11" s="1">
        <v>45301</v>
      </c>
      <c r="C11" t="s">
        <v>10</v>
      </c>
      <c r="D11" t="s">
        <v>13</v>
      </c>
      <c r="E11" t="s">
        <v>25</v>
      </c>
      <c r="F11">
        <v>30000</v>
      </c>
      <c r="G11">
        <v>1</v>
      </c>
      <c r="H11">
        <v>6000</v>
      </c>
      <c r="I11" t="s">
        <v>44</v>
      </c>
      <c r="J11" t="str">
        <f>TEXT(Table1[[#This Row],[Date]],"mmm")</f>
        <v>Jan</v>
      </c>
      <c r="K11">
        <f>+YEAR(Table1[[#This Row],[Date]])</f>
        <v>2024</v>
      </c>
    </row>
    <row r="12" spans="1:11">
      <c r="A12">
        <v>1011</v>
      </c>
      <c r="B12" s="1">
        <v>45302</v>
      </c>
      <c r="C12" t="s">
        <v>11</v>
      </c>
      <c r="D12" t="s">
        <v>14</v>
      </c>
      <c r="E12" t="s">
        <v>26</v>
      </c>
      <c r="F12">
        <v>15000</v>
      </c>
      <c r="G12">
        <v>1</v>
      </c>
      <c r="H12">
        <v>2500</v>
      </c>
      <c r="I12" t="s">
        <v>45</v>
      </c>
      <c r="J12" t="str">
        <f>TEXT(Table1[[#This Row],[Date]],"mmm")</f>
        <v>Jan</v>
      </c>
      <c r="K12">
        <f>+YEAR(Table1[[#This Row],[Date]])</f>
        <v>2024</v>
      </c>
    </row>
    <row r="13" spans="1:11">
      <c r="A13">
        <v>1012</v>
      </c>
      <c r="B13" s="1">
        <v>45303</v>
      </c>
      <c r="C13" t="s">
        <v>12</v>
      </c>
      <c r="D13" t="s">
        <v>22</v>
      </c>
      <c r="E13" t="s">
        <v>27</v>
      </c>
      <c r="F13">
        <v>1200</v>
      </c>
      <c r="G13">
        <v>2</v>
      </c>
      <c r="H13">
        <v>300</v>
      </c>
      <c r="I13" t="s">
        <v>46</v>
      </c>
      <c r="J13" t="str">
        <f>TEXT(Table1[[#This Row],[Date]],"mmm")</f>
        <v>Jan</v>
      </c>
      <c r="K13">
        <f>+YEAR(Table1[[#This Row],[Date]])</f>
        <v>2024</v>
      </c>
    </row>
    <row r="14" spans="1:11">
      <c r="A14">
        <v>1013</v>
      </c>
      <c r="B14" s="1">
        <v>45304</v>
      </c>
      <c r="C14" t="s">
        <v>9</v>
      </c>
      <c r="D14" t="s">
        <v>13</v>
      </c>
      <c r="E14" t="s">
        <v>28</v>
      </c>
      <c r="F14">
        <v>1500</v>
      </c>
      <c r="G14">
        <v>1</v>
      </c>
      <c r="H14">
        <v>1500</v>
      </c>
      <c r="I14" t="s">
        <v>47</v>
      </c>
      <c r="J14" t="str">
        <f>TEXT(Table1[[#This Row],[Date]],"mmm")</f>
        <v>Jan</v>
      </c>
      <c r="K14">
        <f>+YEAR(Table1[[#This Row],[Date]])</f>
        <v>2024</v>
      </c>
    </row>
    <row r="15" spans="1:11">
      <c r="A15">
        <v>1014</v>
      </c>
      <c r="B15" s="1">
        <v>45305</v>
      </c>
      <c r="C15" t="s">
        <v>10</v>
      </c>
      <c r="D15" t="s">
        <v>14</v>
      </c>
      <c r="E15" t="s">
        <v>29</v>
      </c>
      <c r="F15">
        <v>12000</v>
      </c>
      <c r="G15">
        <v>2</v>
      </c>
      <c r="H15">
        <v>2000</v>
      </c>
      <c r="I15" t="s">
        <v>48</v>
      </c>
      <c r="J15" t="str">
        <f>TEXT(Table1[[#This Row],[Date]],"mmm")</f>
        <v>Jan</v>
      </c>
      <c r="K15">
        <f>+YEAR(Table1[[#This Row],[Date]])</f>
        <v>2024</v>
      </c>
    </row>
    <row r="16" spans="1:11">
      <c r="A16">
        <v>1015</v>
      </c>
      <c r="B16" s="1">
        <v>45306</v>
      </c>
      <c r="C16" t="s">
        <v>11</v>
      </c>
      <c r="D16" t="s">
        <v>22</v>
      </c>
      <c r="E16" t="s">
        <v>30</v>
      </c>
      <c r="F16">
        <v>600</v>
      </c>
      <c r="G16">
        <v>6</v>
      </c>
      <c r="H16">
        <v>180</v>
      </c>
      <c r="I16" t="s">
        <v>49</v>
      </c>
      <c r="J16" t="str">
        <f>TEXT(Table1[[#This Row],[Date]],"mmm")</f>
        <v>Jan</v>
      </c>
      <c r="K16">
        <f>+YEAR(Table1[[#This Row],[Date]])</f>
        <v>2024</v>
      </c>
    </row>
    <row r="17" spans="1:11">
      <c r="A17">
        <v>1016</v>
      </c>
      <c r="B17" s="1">
        <v>45307</v>
      </c>
      <c r="C17" t="s">
        <v>12</v>
      </c>
      <c r="D17" t="s">
        <v>13</v>
      </c>
      <c r="E17" t="s">
        <v>31</v>
      </c>
      <c r="F17">
        <v>20000</v>
      </c>
      <c r="G17">
        <v>1</v>
      </c>
      <c r="H17">
        <v>3500</v>
      </c>
      <c r="I17" t="s">
        <v>50</v>
      </c>
      <c r="J17" t="str">
        <f>TEXT(Table1[[#This Row],[Date]],"mmm")</f>
        <v>Jan</v>
      </c>
      <c r="K17">
        <f>+YEAR(Table1[[#This Row],[Date]])</f>
        <v>2024</v>
      </c>
    </row>
    <row r="18" spans="1:11">
      <c r="A18">
        <v>1017</v>
      </c>
      <c r="B18" s="1">
        <v>45308</v>
      </c>
      <c r="C18" t="s">
        <v>9</v>
      </c>
      <c r="D18" t="s">
        <v>14</v>
      </c>
      <c r="E18" t="s">
        <v>32</v>
      </c>
      <c r="F18">
        <v>7000</v>
      </c>
      <c r="G18">
        <v>2</v>
      </c>
      <c r="H18">
        <v>1200</v>
      </c>
      <c r="I18" t="s">
        <v>51</v>
      </c>
      <c r="J18" t="str">
        <f>TEXT(Table1[[#This Row],[Date]],"mmm")</f>
        <v>Jan</v>
      </c>
      <c r="K18">
        <f>+YEAR(Table1[[#This Row],[Date]])</f>
        <v>2024</v>
      </c>
    </row>
    <row r="19" spans="1:11">
      <c r="A19">
        <v>1018</v>
      </c>
      <c r="B19" s="1">
        <v>45309</v>
      </c>
      <c r="C19" t="s">
        <v>10</v>
      </c>
      <c r="D19" t="s">
        <v>22</v>
      </c>
      <c r="E19" t="s">
        <v>33</v>
      </c>
      <c r="F19">
        <v>400</v>
      </c>
      <c r="G19">
        <v>20</v>
      </c>
      <c r="H19">
        <v>100</v>
      </c>
      <c r="I19" t="s">
        <v>52</v>
      </c>
      <c r="J19" t="str">
        <f>TEXT(Table1[[#This Row],[Date]],"mmm")</f>
        <v>Jan</v>
      </c>
      <c r="K19">
        <f>+YEAR(Table1[[#This Row],[Date]])</f>
        <v>2024</v>
      </c>
    </row>
    <row r="20" spans="1:11">
      <c r="A20">
        <v>1019</v>
      </c>
      <c r="B20" s="1">
        <v>45310</v>
      </c>
      <c r="C20" t="s">
        <v>11</v>
      </c>
      <c r="D20" t="s">
        <v>13</v>
      </c>
      <c r="E20" t="s">
        <v>15</v>
      </c>
      <c r="F20">
        <v>5500</v>
      </c>
      <c r="G20">
        <v>2</v>
      </c>
      <c r="H20">
        <v>900</v>
      </c>
      <c r="I20" t="s">
        <v>53</v>
      </c>
      <c r="J20" t="str">
        <f>TEXT(Table1[[#This Row],[Date]],"mmm")</f>
        <v>Jan</v>
      </c>
      <c r="K20">
        <f>+YEAR(Table1[[#This Row],[Date]])</f>
        <v>2024</v>
      </c>
    </row>
    <row r="21" spans="1:11">
      <c r="A21">
        <v>1020</v>
      </c>
      <c r="B21" s="1">
        <v>45311</v>
      </c>
      <c r="C21" t="s">
        <v>12</v>
      </c>
      <c r="D21" t="s">
        <v>14</v>
      </c>
      <c r="E21" t="s">
        <v>34</v>
      </c>
      <c r="F21">
        <v>25000</v>
      </c>
      <c r="G21">
        <v>1</v>
      </c>
      <c r="H21">
        <v>4500</v>
      </c>
      <c r="I21" t="s">
        <v>54</v>
      </c>
      <c r="J21" t="str">
        <f>TEXT(Table1[[#This Row],[Date]],"mmm")</f>
        <v>Jan</v>
      </c>
      <c r="K21">
        <f>+YEAR(Table1[[#This Row],[Date]])</f>
        <v>2024</v>
      </c>
    </row>
    <row r="22" spans="1:11">
      <c r="A22">
        <v>1021</v>
      </c>
      <c r="B22" s="1">
        <v>45312</v>
      </c>
      <c r="C22" t="s">
        <v>9</v>
      </c>
      <c r="D22" t="s">
        <v>22</v>
      </c>
      <c r="E22" t="s">
        <v>17</v>
      </c>
      <c r="F22">
        <v>800</v>
      </c>
      <c r="G22">
        <v>12</v>
      </c>
      <c r="H22">
        <v>250</v>
      </c>
      <c r="I22" t="s">
        <v>55</v>
      </c>
      <c r="J22" t="str">
        <f>TEXT(Table1[[#This Row],[Date]],"mmm")</f>
        <v>Jan</v>
      </c>
      <c r="K22">
        <f>+YEAR(Table1[[#This Row],[Date]])</f>
        <v>2024</v>
      </c>
    </row>
    <row r="23" spans="1:11">
      <c r="A23">
        <v>1022</v>
      </c>
      <c r="B23" s="1">
        <v>45313</v>
      </c>
      <c r="C23" t="s">
        <v>10</v>
      </c>
      <c r="D23" t="s">
        <v>13</v>
      </c>
      <c r="E23" t="s">
        <v>18</v>
      </c>
      <c r="F23">
        <v>7500</v>
      </c>
      <c r="G23">
        <v>1</v>
      </c>
      <c r="H23">
        <v>1300</v>
      </c>
      <c r="I23" t="s">
        <v>36</v>
      </c>
      <c r="J23" t="str">
        <f>TEXT(Table1[[#This Row],[Date]],"mmm")</f>
        <v>Jan</v>
      </c>
      <c r="K23">
        <f>+YEAR(Table1[[#This Row],[Date]])</f>
        <v>2024</v>
      </c>
    </row>
    <row r="24" spans="1:11">
      <c r="A24">
        <v>1023</v>
      </c>
      <c r="B24" s="1">
        <v>45314</v>
      </c>
      <c r="C24" t="s">
        <v>11</v>
      </c>
      <c r="D24" t="s">
        <v>14</v>
      </c>
      <c r="E24" t="s">
        <v>16</v>
      </c>
      <c r="F24">
        <v>47000</v>
      </c>
      <c r="G24">
        <v>1</v>
      </c>
      <c r="H24">
        <v>5500</v>
      </c>
      <c r="I24" t="s">
        <v>37</v>
      </c>
      <c r="J24" t="str">
        <f>TEXT(Table1[[#This Row],[Date]],"mmm")</f>
        <v>Jan</v>
      </c>
      <c r="K24">
        <f>+YEAR(Table1[[#This Row],[Date]])</f>
        <v>2024</v>
      </c>
    </row>
    <row r="25" spans="1:11">
      <c r="A25">
        <v>1024</v>
      </c>
      <c r="B25" s="1">
        <v>45315</v>
      </c>
      <c r="C25" t="s">
        <v>12</v>
      </c>
      <c r="D25" t="s">
        <v>22</v>
      </c>
      <c r="E25" t="s">
        <v>23</v>
      </c>
      <c r="F25">
        <v>1800</v>
      </c>
      <c r="G25">
        <v>4</v>
      </c>
      <c r="H25">
        <v>500</v>
      </c>
      <c r="I25" t="s">
        <v>38</v>
      </c>
      <c r="J25" t="str">
        <f>TEXT(Table1[[#This Row],[Date]],"mmm")</f>
        <v>Jan</v>
      </c>
      <c r="K25">
        <f>+YEAR(Table1[[#This Row],[Date]])</f>
        <v>2024</v>
      </c>
    </row>
    <row r="26" spans="1:11">
      <c r="A26">
        <v>1025</v>
      </c>
      <c r="B26" s="1">
        <v>45316</v>
      </c>
      <c r="C26" t="s">
        <v>9</v>
      </c>
      <c r="D26" t="s">
        <v>13</v>
      </c>
      <c r="E26" t="s">
        <v>20</v>
      </c>
      <c r="F26">
        <v>27000</v>
      </c>
      <c r="G26">
        <v>1</v>
      </c>
      <c r="H26">
        <v>4200</v>
      </c>
      <c r="I26" t="s">
        <v>39</v>
      </c>
      <c r="J26" t="str">
        <f>TEXT(Table1[[#This Row],[Date]],"mmm")</f>
        <v>Jan</v>
      </c>
      <c r="K26">
        <f>+YEAR(Table1[[#This Row],[Date]])</f>
        <v>2024</v>
      </c>
    </row>
    <row r="27" spans="1:11">
      <c r="A27">
        <v>1026</v>
      </c>
      <c r="B27" s="1">
        <v>45317</v>
      </c>
      <c r="C27" t="s">
        <v>10</v>
      </c>
      <c r="D27" t="s">
        <v>14</v>
      </c>
      <c r="E27" t="s">
        <v>19</v>
      </c>
      <c r="F27">
        <v>22000</v>
      </c>
      <c r="G27">
        <v>2</v>
      </c>
      <c r="H27">
        <v>3200</v>
      </c>
      <c r="I27" t="s">
        <v>40</v>
      </c>
      <c r="J27" t="str">
        <f>TEXT(Table1[[#This Row],[Date]],"mmm")</f>
        <v>Jan</v>
      </c>
      <c r="K27">
        <f>+YEAR(Table1[[#This Row],[Date]])</f>
        <v>2024</v>
      </c>
    </row>
    <row r="28" spans="1:11">
      <c r="A28">
        <v>1027</v>
      </c>
      <c r="B28" s="1">
        <v>45318</v>
      </c>
      <c r="C28" t="s">
        <v>11</v>
      </c>
      <c r="D28" t="s">
        <v>22</v>
      </c>
      <c r="E28" t="s">
        <v>21</v>
      </c>
      <c r="F28">
        <v>900</v>
      </c>
      <c r="G28">
        <v>8</v>
      </c>
      <c r="H28">
        <v>300</v>
      </c>
      <c r="I28" t="s">
        <v>41</v>
      </c>
      <c r="J28" t="str">
        <f>TEXT(Table1[[#This Row],[Date]],"mmm")</f>
        <v>Jan</v>
      </c>
      <c r="K28">
        <f>+YEAR(Table1[[#This Row],[Date]])</f>
        <v>2024</v>
      </c>
    </row>
    <row r="29" spans="1:11">
      <c r="A29">
        <v>1028</v>
      </c>
      <c r="B29" s="1">
        <v>45319</v>
      </c>
      <c r="C29" t="s">
        <v>12</v>
      </c>
      <c r="D29" t="s">
        <v>13</v>
      </c>
      <c r="E29" t="s">
        <v>25</v>
      </c>
      <c r="F29">
        <v>32000</v>
      </c>
      <c r="G29">
        <v>1</v>
      </c>
      <c r="H29">
        <v>6500</v>
      </c>
      <c r="I29" t="s">
        <v>42</v>
      </c>
      <c r="J29" t="str">
        <f>TEXT(Table1[[#This Row],[Date]],"mmm")</f>
        <v>Jan</v>
      </c>
      <c r="K29">
        <f>+YEAR(Table1[[#This Row],[Date]])</f>
        <v>2024</v>
      </c>
    </row>
    <row r="30" spans="1:11">
      <c r="A30">
        <v>1029</v>
      </c>
      <c r="B30" s="1">
        <v>45320</v>
      </c>
      <c r="C30" t="s">
        <v>9</v>
      </c>
      <c r="D30" t="s">
        <v>14</v>
      </c>
      <c r="E30" t="s">
        <v>26</v>
      </c>
      <c r="F30">
        <v>16000</v>
      </c>
      <c r="G30">
        <v>1</v>
      </c>
      <c r="H30">
        <v>2600</v>
      </c>
      <c r="I30" t="s">
        <v>43</v>
      </c>
      <c r="J30" t="str">
        <f>TEXT(Table1[[#This Row],[Date]],"mmm")</f>
        <v>Jan</v>
      </c>
      <c r="K30">
        <f>+YEAR(Table1[[#This Row],[Date]])</f>
        <v>2024</v>
      </c>
    </row>
    <row r="31" spans="1:11">
      <c r="A31">
        <v>1030</v>
      </c>
      <c r="B31" s="1">
        <v>45321</v>
      </c>
      <c r="C31" t="s">
        <v>10</v>
      </c>
      <c r="D31" t="s">
        <v>22</v>
      </c>
      <c r="E31" t="s">
        <v>27</v>
      </c>
      <c r="F31">
        <v>1400</v>
      </c>
      <c r="G31">
        <v>2</v>
      </c>
      <c r="H31">
        <v>350</v>
      </c>
      <c r="I31" t="s">
        <v>44</v>
      </c>
      <c r="J31" t="str">
        <f>TEXT(Table1[[#This Row],[Date]],"mmm")</f>
        <v>Jan</v>
      </c>
      <c r="K31">
        <f>+YEAR(Table1[[#This Row],[Date]])</f>
        <v>2024</v>
      </c>
    </row>
    <row r="32" spans="1:11">
      <c r="A32">
        <v>1031</v>
      </c>
      <c r="B32" s="1">
        <v>45322</v>
      </c>
      <c r="C32" t="s">
        <v>11</v>
      </c>
      <c r="D32" t="s">
        <v>13</v>
      </c>
      <c r="E32" t="s">
        <v>28</v>
      </c>
      <c r="F32">
        <v>8500</v>
      </c>
      <c r="G32">
        <v>1</v>
      </c>
      <c r="H32">
        <v>1700</v>
      </c>
      <c r="I32" t="s">
        <v>45</v>
      </c>
      <c r="J32" t="str">
        <f>TEXT(Table1[[#This Row],[Date]],"mmm")</f>
        <v>Jan</v>
      </c>
      <c r="K32">
        <f>+YEAR(Table1[[#This Row],[Date]])</f>
        <v>2024</v>
      </c>
    </row>
    <row r="33" spans="1:11">
      <c r="A33">
        <v>1032</v>
      </c>
      <c r="B33" s="1">
        <v>45323</v>
      </c>
      <c r="C33" t="s">
        <v>12</v>
      </c>
      <c r="D33" t="s">
        <v>14</v>
      </c>
      <c r="E33" t="s">
        <v>29</v>
      </c>
      <c r="F33">
        <v>13000</v>
      </c>
      <c r="G33">
        <v>2</v>
      </c>
      <c r="H33">
        <v>2100</v>
      </c>
      <c r="I33" t="s">
        <v>46</v>
      </c>
      <c r="J33" t="str">
        <f>TEXT(Table1[[#This Row],[Date]],"mmm")</f>
        <v>Feb</v>
      </c>
      <c r="K33">
        <f>+YEAR(Table1[[#This Row],[Date]])</f>
        <v>2024</v>
      </c>
    </row>
    <row r="34" spans="1:11">
      <c r="A34">
        <v>1033</v>
      </c>
      <c r="B34" s="1">
        <v>45324</v>
      </c>
      <c r="C34" t="s">
        <v>9</v>
      </c>
      <c r="D34" t="s">
        <v>22</v>
      </c>
      <c r="E34" t="s">
        <v>30</v>
      </c>
      <c r="F34">
        <v>700</v>
      </c>
      <c r="G34">
        <v>5</v>
      </c>
      <c r="H34">
        <v>200</v>
      </c>
      <c r="I34" t="s">
        <v>47</v>
      </c>
      <c r="J34" t="str">
        <f>TEXT(Table1[[#This Row],[Date]],"mmm")</f>
        <v>Feb</v>
      </c>
      <c r="K34">
        <f>+YEAR(Table1[[#This Row],[Date]])</f>
        <v>2024</v>
      </c>
    </row>
    <row r="35" spans="1:11">
      <c r="A35">
        <v>1034</v>
      </c>
      <c r="B35" s="1">
        <v>45325</v>
      </c>
      <c r="C35" t="s">
        <v>10</v>
      </c>
      <c r="D35" t="s">
        <v>13</v>
      </c>
      <c r="E35" t="s">
        <v>31</v>
      </c>
      <c r="F35">
        <v>21000</v>
      </c>
      <c r="G35">
        <v>1</v>
      </c>
      <c r="H35">
        <v>3600</v>
      </c>
      <c r="I35" t="s">
        <v>48</v>
      </c>
      <c r="J35" t="str">
        <f>TEXT(Table1[[#This Row],[Date]],"mmm")</f>
        <v>Feb</v>
      </c>
      <c r="K35">
        <f>+YEAR(Table1[[#This Row],[Date]])</f>
        <v>2024</v>
      </c>
    </row>
    <row r="36" spans="1:11">
      <c r="A36">
        <v>1035</v>
      </c>
      <c r="B36" s="1">
        <v>45326</v>
      </c>
      <c r="C36" t="s">
        <v>11</v>
      </c>
      <c r="D36" t="s">
        <v>14</v>
      </c>
      <c r="E36" t="s">
        <v>32</v>
      </c>
      <c r="F36">
        <v>7500</v>
      </c>
      <c r="G36">
        <v>2</v>
      </c>
      <c r="H36">
        <v>1300</v>
      </c>
      <c r="I36" t="s">
        <v>49</v>
      </c>
      <c r="J36" t="str">
        <f>TEXT(Table1[[#This Row],[Date]],"mmm")</f>
        <v>Feb</v>
      </c>
      <c r="K36">
        <f>+YEAR(Table1[[#This Row],[Date]])</f>
        <v>2024</v>
      </c>
    </row>
    <row r="37" spans="1:11">
      <c r="A37">
        <v>1036</v>
      </c>
      <c r="B37" s="1">
        <v>45327</v>
      </c>
      <c r="C37" t="s">
        <v>12</v>
      </c>
      <c r="D37" t="s">
        <v>22</v>
      </c>
      <c r="E37" t="s">
        <v>33</v>
      </c>
      <c r="F37">
        <v>500</v>
      </c>
      <c r="G37">
        <v>18</v>
      </c>
      <c r="H37">
        <v>120</v>
      </c>
      <c r="I37" t="s">
        <v>50</v>
      </c>
      <c r="J37" t="str">
        <f>TEXT(Table1[[#This Row],[Date]],"mmm")</f>
        <v>Feb</v>
      </c>
      <c r="K37">
        <f>+YEAR(Table1[[#This Row],[Date]])</f>
        <v>2024</v>
      </c>
    </row>
    <row r="38" spans="1:11">
      <c r="A38">
        <v>1037</v>
      </c>
      <c r="B38" s="1">
        <v>45328</v>
      </c>
      <c r="C38" t="s">
        <v>9</v>
      </c>
      <c r="D38" t="s">
        <v>13</v>
      </c>
      <c r="E38" t="s">
        <v>15</v>
      </c>
      <c r="F38">
        <v>6000</v>
      </c>
      <c r="G38">
        <v>2</v>
      </c>
      <c r="H38">
        <v>1000</v>
      </c>
      <c r="I38" t="s">
        <v>51</v>
      </c>
      <c r="J38" t="str">
        <f>TEXT(Table1[[#This Row],[Date]],"mmm")</f>
        <v>Feb</v>
      </c>
      <c r="K38">
        <f>+YEAR(Table1[[#This Row],[Date]])</f>
        <v>2024</v>
      </c>
    </row>
    <row r="39" spans="1:11">
      <c r="A39">
        <v>1038</v>
      </c>
      <c r="B39" s="1">
        <v>45329</v>
      </c>
      <c r="C39" t="s">
        <v>10</v>
      </c>
      <c r="D39" t="s">
        <v>14</v>
      </c>
      <c r="E39" t="s">
        <v>34</v>
      </c>
      <c r="F39">
        <v>26000</v>
      </c>
      <c r="G39">
        <v>1</v>
      </c>
      <c r="H39">
        <v>4700</v>
      </c>
      <c r="I39" t="s">
        <v>52</v>
      </c>
      <c r="J39" t="str">
        <f>TEXT(Table1[[#This Row],[Date]],"mmm")</f>
        <v>Feb</v>
      </c>
      <c r="K39">
        <f>+YEAR(Table1[[#This Row],[Date]])</f>
        <v>2024</v>
      </c>
    </row>
    <row r="40" spans="1:11">
      <c r="A40">
        <v>1039</v>
      </c>
      <c r="B40" s="1">
        <v>45330</v>
      </c>
      <c r="C40" t="s">
        <v>11</v>
      </c>
      <c r="D40" t="s">
        <v>22</v>
      </c>
      <c r="E40" t="s">
        <v>17</v>
      </c>
      <c r="F40">
        <v>650</v>
      </c>
      <c r="G40">
        <v>9</v>
      </c>
      <c r="H40">
        <v>180</v>
      </c>
      <c r="I40" t="s">
        <v>53</v>
      </c>
      <c r="J40" t="str">
        <f>TEXT(Table1[[#This Row],[Date]],"mmm")</f>
        <v>Feb</v>
      </c>
      <c r="K40">
        <f>+YEAR(Table1[[#This Row],[Date]])</f>
        <v>2024</v>
      </c>
    </row>
    <row r="41" spans="1:11">
      <c r="A41">
        <v>1040</v>
      </c>
      <c r="B41" s="1">
        <v>45331</v>
      </c>
      <c r="C41" t="s">
        <v>12</v>
      </c>
      <c r="D41" t="s">
        <v>13</v>
      </c>
      <c r="E41" t="s">
        <v>18</v>
      </c>
      <c r="F41">
        <v>7800</v>
      </c>
      <c r="G41">
        <v>1</v>
      </c>
      <c r="H41">
        <v>1400</v>
      </c>
      <c r="I41" t="s">
        <v>54</v>
      </c>
      <c r="J41" t="str">
        <f>TEXT(Table1[[#This Row],[Date]],"mmm")</f>
        <v>Feb</v>
      </c>
      <c r="K41">
        <f>+YEAR(Table1[[#This Row],[Date]])</f>
        <v>2024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Sheet4</vt:lpstr>
      <vt:lpstr>Sheet5</vt:lpstr>
      <vt:lpstr>Sheet6</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SWETHA RAJAGOPAL</dc:creator>
  <cp:lastModifiedBy>SWETHA RAJAGOPAL</cp:lastModifiedBy>
  <cp:lastPrinted>2026-05-05T11:21:25Z</cp:lastPrinted>
  <dcterms:created xsi:type="dcterms:W3CDTF">2026-05-03T09:21:53Z</dcterms:created>
  <dcterms:modified xsi:type="dcterms:W3CDTF">2026-05-06T06:59:00Z</dcterms:modified>
</cp:coreProperties>
</file>